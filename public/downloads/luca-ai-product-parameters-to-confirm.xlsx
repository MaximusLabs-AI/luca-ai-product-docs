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1 · Website contradictions" sheetId="2" state="visible" r:id="rId4"/>
    <sheet name="2 · Product questions" sheetId="3" state="visible" r:id="rId5"/>
    <sheet name="3 · Parameters to confirm" sheetId="4" state="visible" r:id="rId6"/>
    <sheet name="4 · Documented in v1" sheetId="5" state="visible" r:id="rId7"/>
  </sheets>
  <definedNames>
    <definedName function="false" hidden="true" localSheetId="1" name="_xlnm._FilterDatabase" vbProcedure="false">'1 · Website contradictions'!$A$1:$G$21</definedName>
    <definedName function="false" hidden="true" localSheetId="2" name="_xlnm._FilterDatabase" vbProcedure="false">'2 · Product questions'!$A$1:$E$25</definedName>
    <definedName function="false" hidden="true" localSheetId="3" name="_xlnm._FilterDatabase" vbProcedure="false">'3 · Parameters to confirm'!$A$1:$N$381</definedName>
    <definedName function="false" hidden="true" localSheetId="4" name="_xlnm._FilterDatabase" vbProcedure="false">'4 · Documented in v1'!$A$1:$H$103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<sst xmlns="http://schemas.openxmlformats.org/spreadsheetml/2006/main" count="3715" uniqueCount="1251">
  <si>
    <t xml:space="preserve">Luca AI · product documentation v1 · parameters to confirm</t>
  </si>
  <si>
    <t xml:space="preserve">Prepared by MaximusLabs, 16 October 2026</t>
  </si>
  <si>
    <t xml:space="preserve">Why this exists</t>
  </si>
  <si>
    <t xml:space="preserve">Version 1 of Luca's product documentation contains only what we are certain Luca has today, from our calls, your product screenshots and your website. Everything we are not certain about is in this workbook. Your answers decide what goes into version 2.</t>
  </si>
  <si>
    <t xml:space="preserve">How to fill it in</t>
  </si>
  <si>
    <t xml:space="preserve">1. Yellow cells are yours. Everything else is our current understanding: correct it freely.</t>
  </si>
  <si>
    <t xml:space="preserve">2. Start with tab 1 (website contradictions) and tab 2 (product questions). They unblock the most.</t>
  </si>
  <si>
    <t xml:space="preserve">3. On tab 3, work P1 rows first. Pick a status from the dropdown; add plans, limits and a proof link where you can.</t>
  </si>
  <si>
    <t xml:space="preserve">4. On tab 4, check what version 1 already says about Luca and correct anything wrong.</t>
  </si>
  <si>
    <t xml:space="preserve">5. The first row of each tab (shaded, italic) is an example of the expected format. Leave it as is.</t>
  </si>
  <si>
    <t xml:space="preserve">Progress</t>
  </si>
  <si>
    <t xml:space="preserve">1 · Website contradictions: answered</t>
  </si>
  <si>
    <t xml:space="preserve">2 · Product questions: answered</t>
  </si>
  <si>
    <t xml:space="preserve">3 · Parameters to confirm: answered</t>
  </si>
  <si>
    <t xml:space="preserve">4 · Documented in v1: answered</t>
  </si>
  <si>
    <t xml:space="preserve">Counts exclude the example row.</t>
  </si>
  <si>
    <t xml:space="preserve">#</t>
  </si>
  <si>
    <t xml:space="preserve">Topic</t>
  </si>
  <si>
    <t xml:space="preserve">What we see</t>
  </si>
  <si>
    <t xml:space="preserve">Where</t>
  </si>
  <si>
    <t xml:space="preserve">Correct version (yours)</t>
  </si>
  <si>
    <t xml:space="preserve">Confirmed by</t>
  </si>
  <si>
    <t xml:space="preserve">Notes</t>
  </si>
  <si>
    <t xml:space="preserve">e.g.</t>
  </si>
  <si>
    <t xml:space="preserve">Trial length</t>
  </si>
  <si>
    <t xml:space="preserve">Stated as 14 days and as 30 days.</t>
  </si>
  <si>
    <t xml:space="preserve">/pricing</t>
  </si>
  <si>
    <t xml:space="preserve">30 days, card required, cancel any time before day 30.</t>
  </si>
  <si>
    <t xml:space="preserve">Eric</t>
  </si>
  <si>
    <t xml:space="preserve">Pricing page is correct.</t>
  </si>
  <si>
    <t xml:space="preserve">Autonomous actions</t>
  </si>
  <si>
    <t xml:space="preserve">The Agent and How it works pages say Luca executes changes (pauses campaigns, moves budgets, edits Shopify prices and discounts, sends Klaviyo flows) with autonomy levels L0–L4. The privacy page says Google access is read-only and changes nothing. On our calls Luca has been described as read-only with a human in the loop.</t>
  </si>
  <si>
    <t xml:space="preserve">/the-agent, /how-it-works, /privacy</t>
  </si>
  <si>
    <t xml:space="preserve">Capital availability</t>
  </si>
  <si>
    <t xml:space="preserve">The home and How it works pages label capital "Coming soon"; the Capital page describes it as live, in the present tense.</t>
  </si>
  <si>
    <t xml:space="preserve">/, /how-it-works, /capital</t>
  </si>
  <si>
    <t xml:space="preserve">Capital cost, size and fee method</t>
  </si>
  <si>
    <t xml:space="preserve">All-in cost appears as 8–12%, 10–12%, ~12%, ~10% annualised and 5–8%. Advance size appears four ways. Pricing is "dynamic per advance" on one page and "a single fixed fee" on another.</t>
  </si>
  <si>
    <t xml:space="preserve">/capital, /how-it-works, /pricing, blog</t>
  </si>
  <si>
    <t xml:space="preserve">Lender wording</t>
  </si>
  <si>
    <t xml:space="preserve">The pricing FAQ calls Luca "a senior operator, advisor, analyst, and lender in one"; About mentions "deep pockets" from credit funds. Your positioning is "not a financing company".</t>
  </si>
  <si>
    <t xml:space="preserve">/pricing, /about</t>
  </si>
  <si>
    <t xml:space="preserve">Plan prices</t>
  </si>
  <si>
    <t xml:space="preserve">The pricing page body, the page meta description, the Terms (per-seat price) and an older pricing script in the page source show different figures.</t>
  </si>
  <si>
    <t xml:space="preserve">/pricing, /terms-and-conditions</t>
  </si>
  <si>
    <t xml:space="preserve">Renewal and billing terms</t>
  </si>
  <si>
    <t xml:space="preserve">The pricing FAQ says plans end automatically after 12 months; the Terms say they auto-renew monthly with notice, and that annual upfront payment is not offered while the pricing page offers annual billing.</t>
  </si>
  <si>
    <t xml:space="preserve">Trials have been described as 14 days and as 30 days; the pricing page says 30.</t>
  </si>
  <si>
    <t xml:space="preserve">/pricing, calls</t>
  </si>
  <si>
    <t xml:space="preserve">Currency display</t>
  </si>
  <si>
    <t xml:space="preserve">A script swaps the € symbol for the visitor's local symbol without converting the number, including on capital amounts.</t>
  </si>
  <si>
    <t xml:space="preserve">/capital, /how-it-works, /the-agent, /pricing, /contact, /careers</t>
  </si>
  <si>
    <t xml:space="preserve">Legal entity</t>
  </si>
  <si>
    <t xml:space="preserve">Terms name Luca Labs, Inc. (Delaware); Privacy names Luca Labs (UK) Inc. (London); blog schema names Valerian Capital (UK) Ltd.</t>
  </si>
  <si>
    <t xml:space="preserve">/terms-and-conditions, /privacy, blog schema</t>
  </si>
  <si>
    <t xml:space="preserve">How Luca describes itself</t>
  </si>
  <si>
    <t xml:space="preserve">"AI operating system for e-commerce", "AI Co-Founder", "senior operator, advisor, analyst, and lender", and an old schema block calling Luca "an AI-powered personal assistant".</t>
  </si>
  <si>
    <t xml:space="preserve">/, /about, /pricing, blog schema</t>
  </si>
  <si>
    <t xml:space="preserve">Setup time and time to first insight</t>
  </si>
  <si>
    <t xml:space="preserve">Stated as under 5 minutes, two clicks per source, within the hour, within 24 hours, the same day, and five minutes.</t>
  </si>
  <si>
    <t xml:space="preserve">/, /how-it-works, /pricing, /contact, /careers</t>
  </si>
  <si>
    <t xml:space="preserve">Data freshness</t>
  </si>
  <si>
    <t xml:space="preserve">Stated as real time; as nightly sync with webhook deltas; and per source (15 minutes / nightly / live pull).</t>
  </si>
  <si>
    <t xml:space="preserve">/how-it-works</t>
  </si>
  <si>
    <t xml:space="preserve">Encryption and isolation</t>
  </si>
  <si>
    <t xml:space="preserve">TLS 1.3 (How it works) vs TLS 1.2+ (Privacy); "single-tenant infrastructure" vs "separate per-customer BigQuery datasets".</t>
  </si>
  <si>
    <t xml:space="preserve">/how-it-works, /privacy</t>
  </si>
  <si>
    <t xml:space="preserve">EU data residency</t>
  </si>
  <si>
    <t xml:space="preserve">"EU data residency available" vs transfers outside the EEA under standard contractual clauses.</t>
  </si>
  <si>
    <t xml:space="preserve">Use of customer data</t>
  </si>
  <si>
    <t xml:space="preserve">"Used only to answer your questions" vs the Terms right to use anonymised data for benchmarking.</t>
  </si>
  <si>
    <t xml:space="preserve">/pricing, Terms §9.6</t>
  </si>
  <si>
    <t xml:space="preserve">Ratings in page code</t>
  </si>
  <si>
    <t xml:space="preserve">Blog pages carry a 4.8 / 872 rating in structured data with no visible source.</t>
  </si>
  <si>
    <t xml:space="preserve">blog template</t>
  </si>
  <si>
    <t xml:space="preserve">Demo details</t>
  </si>
  <si>
    <t xml:space="preserve">Demo on demo data vs "live, on your data"; 30 vs 45 minutes; reply in one vs a few business days.</t>
  </si>
  <si>
    <t xml:space="preserve">/contact, /the-agent, /capital</t>
  </si>
  <si>
    <t xml:space="preserve">Number of data sources</t>
  </si>
  <si>
    <t xml:space="preserve">"20+ sources" on How it works; we have seen about nine connected in product.</t>
  </si>
  <si>
    <t xml:space="preserve">Payback claim</t>
  </si>
  <si>
    <t xml:space="preserve">Customers recoup the fee in the "first week" (pricing) vs the "first month" (Mastercard page).</t>
  </si>
  <si>
    <t xml:space="preserve">/pricing, /pricing-mastercard-business-bonus</t>
  </si>
  <si>
    <t xml:space="preserve">Question</t>
  </si>
  <si>
    <t xml:space="preserve">Answer (yours)</t>
  </si>
  <si>
    <t xml:space="preserve">Proof / link</t>
  </si>
  <si>
    <t xml:space="preserve">Is Klaviyo a live connector?</t>
  </si>
  <si>
    <t xml:space="preserve">Yes, live since July 2026 on all plans. Read-only.</t>
  </si>
  <si>
    <t xml:space="preserve">Usman</t>
  </si>
  <si>
    <t xml:space="preserve">https://… (screenshot)</t>
  </si>
  <si>
    <t xml:space="preserve">Which actions can Luca execute in a connected system today (if any), on which platforms, and with which write permissions?</t>
  </si>
  <si>
    <t xml:space="preserve">Do proactive alerts and the daily insight run automatically today? Which alert types, and through which channels (app, email, Slack, WhatsApp)?</t>
  </si>
  <si>
    <t xml:space="preserve">Does Luca keep memory across conversations? Can a user see, edit or delete it?</t>
  </si>
  <si>
    <t xml:space="preserve">Which connectors are live in production today? Please list every one (e.g. Klaviyo, TikTok Ads, WooCommerce, QuickBooks, banking, 3PLs).</t>
  </si>
  <si>
    <t xml:space="preserve">Is cash-flow forecasting live? SKU demand forecasting? What-if scenarios? Counterfactuals on Numbers (and when)?</t>
  </si>
  <si>
    <t xml:space="preserve">Which profit metrics are computed today: SKU-level profit, returns and refunds, payment and marketplace fees, contribution margin layers?</t>
  </si>
  <si>
    <t xml:space="preserve">Capital: in which countries is it available today, through which named lending partner, and what wording should documentation use?</t>
  </si>
  <si>
    <t xml:space="preserve">Trial: how long, is a card required, and what happens at the end?</t>
  </si>
  <si>
    <t xml:space="preserve">Renewal and cancellation: which wording is correct?</t>
  </si>
  <si>
    <t xml:space="preserve">Which legal entity contracts with customers?</t>
  </si>
  <si>
    <t xml:space="preserve">EU data residency: available in practice? For which customers?</t>
  </si>
  <si>
    <t xml:space="preserve">Can a customer export all of their data, and in what format?</t>
  </si>
  <si>
    <t xml:space="preserve">Can a customer get read access to their own BigQuery dataset?</t>
  </si>
  <si>
    <t xml:space="preserve">Support: channels, hours and response time. Is there a named success manager?</t>
  </si>
  <si>
    <t xml:space="preserve">Are WhatsApp and email live as ways to talk to Luca?</t>
  </si>
  <si>
    <t xml:space="preserve">Does Luca generate board packs / investor reports today?</t>
  </si>
  <si>
    <t xml:space="preserve">When Luca is unsure, does it say so or ask a clarifying question? Can a user see how an answer was computed?</t>
  </si>
  <si>
    <t xml:space="preserve">Role-based access: can access be limited per data source and per person?</t>
  </si>
  <si>
    <t xml:space="preserve">Multi-store and multi-currency: supported? How?</t>
  </si>
  <si>
    <t xml:space="preserve">Security documentation: what can be shared with a buyer on request (policies, pen test, DPA, sub-processors)?</t>
  </si>
  <si>
    <t xml:space="preserve">For each live connector: what data does Luca pull, and which permission scopes does it request (read-only or write)?</t>
  </si>
  <si>
    <t xml:space="preserve">Knowledge base: which file types and sizes are supported, and how long are uploaded files kept?</t>
  </si>
  <si>
    <t xml:space="preserve">Which customer brands have approved being named, and which case studies (e.g. the $72,000 subscription-skip finding) can be cited publicly?</t>
  </si>
  <si>
    <t xml:space="preserve">ID</t>
  </si>
  <si>
    <t xml:space="preserve">Area</t>
  </si>
  <si>
    <t xml:space="preserve">Parameter</t>
  </si>
  <si>
    <t xml:space="preserve">Buyer importance</t>
  </si>
  <si>
    <t xml:space="preserve">Our current understanding</t>
  </si>
  <si>
    <t xml:space="preserve">Your website</t>
  </si>
  <si>
    <t xml:space="preserve">Priority</t>
  </si>
  <si>
    <t xml:space="preserve">What we need</t>
  </si>
  <si>
    <t xml:space="preserve">Status (yours)</t>
  </si>
  <si>
    <t xml:space="preserve">Plans / limits</t>
  </si>
  <si>
    <t xml:space="preserve">Live since</t>
  </si>
  <si>
    <t xml:space="preserve">Proof (screenshot, doc, link)</t>
  </si>
  <si>
    <t xml:space="preserve">Correct wording for the docs</t>
  </si>
  <si>
    <t xml:space="preserve">Data connectors</t>
  </si>
  <si>
    <t xml:space="preserve">Klaviyo</t>
  </si>
  <si>
    <t xml:space="preserve">High</t>
  </si>
  <si>
    <t xml:space="preserve">Unknown to us</t>
  </si>
  <si>
    <t xml:space="preserve">Stated on your website</t>
  </si>
  <si>
    <t xml:space="preserve">P1</t>
  </si>
  <si>
    <t xml:space="preserve">Please confirm it is live today.</t>
  </si>
  <si>
    <t xml:space="preserve">Live</t>
  </si>
  <si>
    <t xml:space="preserve">All plans; read-only</t>
  </si>
  <si>
    <t xml:space="preserve">Jul 2026</t>
  </si>
  <si>
    <t xml:space="preserve">https://…</t>
  </si>
  <si>
    <t xml:space="preserve">Luca connects to Klaviyo (read-only) to analyse flows and campaigns.</t>
  </si>
  <si>
    <t xml:space="preserve">U12</t>
  </si>
  <si>
    <t xml:space="preserve">Data connectors and coverage</t>
  </si>
  <si>
    <t xml:space="preserve">Your website states this. Please confirm it is live today, and for whom.</t>
  </si>
  <si>
    <t xml:space="preserve">U14</t>
  </si>
  <si>
    <t xml:space="preserve">Subscription apps (Recharge, Skio, Stay.ai)</t>
  </si>
  <si>
    <t xml:space="preserve">Partly confirmed</t>
  </si>
  <si>
    <t xml:space="preserve">Not on your website</t>
  </si>
  <si>
    <t xml:space="preserve">Documented in v1 with a limited scope. Please confirm the scope, or widen it.</t>
  </si>
  <si>
    <t xml:space="preserve">U18</t>
  </si>
  <si>
    <t xml:space="preserve">QuickBooks</t>
  </si>
  <si>
    <t xml:space="preserve">U22</t>
  </si>
  <si>
    <t xml:space="preserve">ERP / OMS / IMS (NetSuite, Cin7, Linnworks)</t>
  </si>
  <si>
    <t xml:space="preserve">Medium</t>
  </si>
  <si>
    <t xml:space="preserve">Mentioned in passing or in legal pages</t>
  </si>
  <si>
    <t xml:space="preserve">U28</t>
  </si>
  <si>
    <t xml:space="preserve">Custom connector built by the vendor, no fee</t>
  </si>
  <si>
    <t xml:space="preserve">Stated inconsistently, or beyond what we have seen</t>
  </si>
  <si>
    <t xml:space="preserve">U29</t>
  </si>
  <si>
    <t xml:space="preserve">Connector count stated and evidenced</t>
  </si>
  <si>
    <t xml:space="preserve">U34</t>
  </si>
  <si>
    <t xml:space="preserve">Data unification, accuracy and trust in the numbers</t>
  </si>
  <si>
    <t xml:space="preserve">Reconciled to bank and accounting (finance-grade)</t>
  </si>
  <si>
    <t xml:space="preserve">U37</t>
  </si>
  <si>
    <t xml:space="preserve">Data freshness stated once</t>
  </si>
  <si>
    <t xml:space="preserve">U45</t>
  </si>
  <si>
    <t xml:space="preserve">Platform-reported vs real ROAS reconciliation</t>
  </si>
  <si>
    <t xml:space="preserve">U51</t>
  </si>
  <si>
    <t xml:space="preserve">Metrics library</t>
  </si>
  <si>
    <t xml:space="preserve">Contribution margin / contribution profit</t>
  </si>
  <si>
    <t xml:space="preserve">U53</t>
  </si>
  <si>
    <t xml:space="preserve">Operating profit / live P&amp;L</t>
  </si>
  <si>
    <t xml:space="preserve">U59</t>
  </si>
  <si>
    <t xml:space="preserve">ROAS / MER</t>
  </si>
  <si>
    <t xml:space="preserve">U60</t>
  </si>
  <si>
    <t xml:space="preserve">ROAS vs contribution margin (POAS)</t>
  </si>
  <si>
    <t xml:space="preserve">U61</t>
  </si>
  <si>
    <t xml:space="preserve">True / blended CAC</t>
  </si>
  <si>
    <t xml:space="preserve">U65</t>
  </si>
  <si>
    <t xml:space="preserve">Historical LTV</t>
  </si>
  <si>
    <t xml:space="preserve">U69</t>
  </si>
  <si>
    <t xml:space="preserve">Active vs lapsed customers / churn</t>
  </si>
  <si>
    <t xml:space="preserve">U73</t>
  </si>
  <si>
    <t xml:space="preserve">Stock cover vs supplier lead time</t>
  </si>
  <si>
    <t xml:space="preserve">U74</t>
  </si>
  <si>
    <t xml:space="preserve">Stock-out risk</t>
  </si>
  <si>
    <t xml:space="preserve">Seen in a spec or roadmap only</t>
  </si>
  <si>
    <t xml:space="preserve">U78</t>
  </si>
  <si>
    <t xml:space="preserve">Runway</t>
  </si>
  <si>
    <t xml:space="preserve">U85</t>
  </si>
  <si>
    <t xml:space="preserve">Conversational Q&amp;A</t>
  </si>
  <si>
    <t xml:space="preserve">One answer that reasons across marketing × finance × inventory</t>
  </si>
  <si>
    <t xml:space="preserve">U103</t>
  </si>
  <si>
    <t xml:space="preserve">Content generation (posts, newsletters, images)</t>
  </si>
  <si>
    <t xml:space="preserve">U104</t>
  </si>
  <si>
    <t xml:space="preserve">Proactive intelligence and monitoring</t>
  </si>
  <si>
    <t xml:space="preserve">A daily proactive insight, unprompted</t>
  </si>
  <si>
    <t xml:space="preserve">U105</t>
  </si>
  <si>
    <t xml:space="preserve">Anomaly detection with a stated method (2σ)</t>
  </si>
  <si>
    <t xml:space="preserve">U106</t>
  </si>
  <si>
    <t xml:space="preserve">Threshold alerts (ROAS floor, runway &lt; 60 days)</t>
  </si>
  <si>
    <t xml:space="preserve">U107</t>
  </si>
  <si>
    <t xml:space="preserve">Stock-out alerts</t>
  </si>
  <si>
    <t xml:space="preserve">U110</t>
  </si>
  <si>
    <t xml:space="preserve">Noise control (confidence hold, dedupe, self-tuning, 3–5 a day)</t>
  </si>
  <si>
    <t xml:space="preserve">U114</t>
  </si>
  <si>
    <t xml:space="preserve">Scheduled digests (Monday health digest, weekly review)</t>
  </si>
  <si>
    <t xml:space="preserve">U118</t>
  </si>
  <si>
    <t xml:space="preserve">Choice of alert channel (Slack, WhatsApp, email, app)</t>
  </si>
  <si>
    <t xml:space="preserve">U120</t>
  </si>
  <si>
    <t xml:space="preserve">Recommendations and decision support</t>
  </si>
  <si>
    <t xml:space="preserve">Budget reallocation advice</t>
  </si>
  <si>
    <t xml:space="preserve">U128</t>
  </si>
  <si>
    <t xml:space="preserve">Agentic execution and guardrails</t>
  </si>
  <si>
    <t xml:space="preserve">Autonomy levels per action and per role (L0–L4)</t>
  </si>
  <si>
    <t xml:space="preserve">U129</t>
  </si>
  <si>
    <t xml:space="preserve">Pause campaigns, move budgets, change caps (Meta, Google)</t>
  </si>
  <si>
    <t xml:space="preserve">U131</t>
  </si>
  <si>
    <t xml:space="preserve">Klaviyo flows, segments, sends, A/B tests</t>
  </si>
  <si>
    <t xml:space="preserve">U132</t>
  </si>
  <si>
    <t xml:space="preserve">Shopify prices, discount codes, product copy, shipping rules</t>
  </si>
  <si>
    <t xml:space="preserve">U138</t>
  </si>
  <si>
    <t xml:space="preserve">Spending caps</t>
  </si>
  <si>
    <t xml:space="preserve">U140</t>
  </si>
  <si>
    <t xml:space="preserve">Audit log with reasoning, exportable to a SIEM</t>
  </si>
  <si>
    <t xml:space="preserve">U141</t>
  </si>
  <si>
    <t xml:space="preserve">One-click reversal</t>
  </si>
  <si>
    <t xml:space="preserve">U143</t>
  </si>
  <si>
    <t xml:space="preserve">Write scopes disclosed before connecting</t>
  </si>
  <si>
    <t xml:space="preserve">Not seen</t>
  </si>
  <si>
    <t xml:space="preserve">U147</t>
  </si>
  <si>
    <t xml:space="preserve">Memory, context and customisation</t>
  </si>
  <si>
    <t xml:space="preserve">Goals, constraints, cost rules, lead times, seasonality</t>
  </si>
  <si>
    <t xml:space="preserve">U148</t>
  </si>
  <si>
    <t xml:space="preserve">Persistent memory across conversations</t>
  </si>
  <si>
    <t xml:space="preserve">U157</t>
  </si>
  <si>
    <t xml:space="preserve">Forecasting, planning and scenarios</t>
  </si>
  <si>
    <t xml:space="preserve">Cash-flow forecast, 6–12 months</t>
  </si>
  <si>
    <t xml:space="preserve">U159</t>
  </si>
  <si>
    <t xml:space="preserve">What-if scenarios ("ad spend +20%")</t>
  </si>
  <si>
    <t xml:space="preserve">In build (per your team)</t>
  </si>
  <si>
    <t xml:space="preserve">U165</t>
  </si>
  <si>
    <t xml:space="preserve">Finance, cash and capital</t>
  </si>
  <si>
    <t xml:space="preserve">P&amp;L in real time</t>
  </si>
  <si>
    <t xml:space="preserve">U166</t>
  </si>
  <si>
    <t xml:space="preserve">Reconciled with Xero / QuickBooks</t>
  </si>
  <si>
    <t xml:space="preserve">U168</t>
  </si>
  <si>
    <t xml:space="preserve">Runway and cash-compression alerts</t>
  </si>
  <si>
    <t xml:space="preserve">U171</t>
  </si>
  <si>
    <t xml:space="preserve">Capital availability, by country</t>
  </si>
  <si>
    <t xml:space="preserve">U173</t>
  </si>
  <si>
    <t xml:space="preserve">All-in cost stated once</t>
  </si>
  <si>
    <t xml:space="preserve">Not assessed</t>
  </si>
  <si>
    <t xml:space="preserve">U180</t>
  </si>
  <si>
    <t xml:space="preserve">Customers, retention and subscriptions</t>
  </si>
  <si>
    <t xml:space="preserve">Subscription metrics (active subscribers, skips, pauses, churn)</t>
  </si>
  <si>
    <t xml:space="preserve">U183</t>
  </si>
  <si>
    <t xml:space="preserve">Channels, stores and regions</t>
  </si>
  <si>
    <t xml:space="preserve">Shopify + Amazon in one P&amp;L</t>
  </si>
  <si>
    <t xml:space="preserve">U191</t>
  </si>
  <si>
    <t xml:space="preserve">Dashboards, reports and delivery</t>
  </si>
  <si>
    <t xml:space="preserve">Scheduled email reports</t>
  </si>
  <si>
    <t xml:space="preserve">U198</t>
  </si>
  <si>
    <t xml:space="preserve">Team, roles and collaboration</t>
  </si>
  <si>
    <t xml:space="preserve">Role-based access per source and per action</t>
  </si>
  <si>
    <t xml:space="preserve">U210</t>
  </si>
  <si>
    <t xml:space="preserve">Security, privacy and compliance</t>
  </si>
  <si>
    <t xml:space="preserve">GDPR compliance and a DPA</t>
  </si>
  <si>
    <t xml:space="preserve">U211</t>
  </si>
  <si>
    <t xml:space="preserve">U212</t>
  </si>
  <si>
    <t xml:space="preserve">Encryption at rest and in transit</t>
  </si>
  <si>
    <t xml:space="preserve">U219</t>
  </si>
  <si>
    <t xml:space="preserve">Read-only scopes listed per connector</t>
  </si>
  <si>
    <t xml:space="preserve">CO3</t>
  </si>
  <si>
    <t xml:space="preserve">Commercial</t>
  </si>
  <si>
    <t xml:space="preserve">Entry price</t>
  </si>
  <si>
    <t xml:space="preserve">Confirmed</t>
  </si>
  <si>
    <t xml:space="preserve">Do you have this? If yes: on which plans, with what limits, and since when?</t>
  </si>
  <si>
    <t xml:space="preserve">CO8</t>
  </si>
  <si>
    <t xml:space="preserve">Free trial</t>
  </si>
  <si>
    <t xml:space="preserve">CO10</t>
  </si>
  <si>
    <t xml:space="preserve">Monthly billing</t>
  </si>
  <si>
    <t xml:space="preserve">CO12</t>
  </si>
  <si>
    <t xml:space="preserve">Term length stated clearly</t>
  </si>
  <si>
    <t xml:space="preserve">CO13</t>
  </si>
  <si>
    <t xml:space="preserve">Renewal and cancellation consistent</t>
  </si>
  <si>
    <t xml:space="preserve">S1</t>
  </si>
  <si>
    <t xml:space="preserve">Service, onboarding and support</t>
  </si>
  <si>
    <t xml:space="preserve">Setup time stated once</t>
  </si>
  <si>
    <t xml:space="preserve">S2</t>
  </si>
  <si>
    <t xml:space="preserve">Time to first insight stated once</t>
  </si>
  <si>
    <t xml:space="preserve">S7</t>
  </si>
  <si>
    <t xml:space="preserve">Support channels and response time</t>
  </si>
  <si>
    <t xml:space="preserve">S11</t>
  </si>
  <si>
    <t xml:space="preserve">Live demo on your own data</t>
  </si>
  <si>
    <t xml:space="preserve">FD3</t>
  </si>
  <si>
    <t xml:space="preserve">Founder / CEO of a Shopify DTC brand, ~$1M–$15M</t>
  </si>
  <si>
    <t xml:space="preserve">Tells me what changed and why before I ask</t>
  </si>
  <si>
    <t xml:space="preserve">FD4</t>
  </si>
  <si>
    <t xml:space="preserve">What to do this week, ranked by impact</t>
  </si>
  <si>
    <t xml:space="preserve">FD5</t>
  </si>
  <si>
    <t xml:space="preserve">My true profit, not revenue</t>
  </si>
  <si>
    <t xml:space="preserve">FD6</t>
  </si>
  <si>
    <t xml:space="preserve">Is my ad spend actually profitable?</t>
  </si>
  <si>
    <t xml:space="preserve">FD7</t>
  </si>
  <si>
    <t xml:space="preserve">Will I run out of cash or stock?</t>
  </si>
  <si>
    <t xml:space="preserve">FD8</t>
  </si>
  <si>
    <t xml:space="preserve">Works with the Shopify, Meta, Google, Klaviyo and Xero I already run</t>
  </si>
  <si>
    <t xml:space="preserve">FD9</t>
  </si>
  <si>
    <t xml:space="preserve">Set up in an afternoon without a developer</t>
  </si>
  <si>
    <t xml:space="preserve">FD13</t>
  </si>
  <si>
    <t xml:space="preserve">Remembers my goals and context</t>
  </si>
  <si>
    <t xml:space="preserve">FD19</t>
  </si>
  <si>
    <t xml:space="preserve">Clear price; cancel if it doesn't earn its keep</t>
  </si>
  <si>
    <t xml:space="preserve">FD25</t>
  </si>
  <si>
    <t xml:space="preserve">Retention and LTV of my best customers</t>
  </si>
  <si>
    <t xml:space="preserve">CF1</t>
  </si>
  <si>
    <t xml:space="preserve">CFO, finance lead or fractional CFO</t>
  </si>
  <si>
    <t xml:space="preserve">Revenue and margin reconcile to the accounting system</t>
  </si>
  <si>
    <t xml:space="preserve">CF2</t>
  </si>
  <si>
    <t xml:space="preserve">Xero / QuickBooks / Exact / NetSuite connection</t>
  </si>
  <si>
    <t xml:space="preserve">CF5</t>
  </si>
  <si>
    <t xml:space="preserve">13-week and 12-month cash forecast</t>
  </si>
  <si>
    <t xml:space="preserve">CF6</t>
  </si>
  <si>
    <t xml:space="preserve">Scenario planning with stated assumptions</t>
  </si>
  <si>
    <t xml:space="preserve">CF17</t>
  </si>
  <si>
    <t xml:space="preserve">Role-based access to finance data</t>
  </si>
  <si>
    <t xml:space="preserve">CF19</t>
  </si>
  <si>
    <t xml:space="preserve">Capital terms transparent and written once</t>
  </si>
  <si>
    <t xml:space="preserve">GR1</t>
  </si>
  <si>
    <t xml:space="preserve">Head of growth / performance marketing</t>
  </si>
  <si>
    <t xml:space="preserve">ROAS against contribution margin by channel</t>
  </si>
  <si>
    <t xml:space="preserve">GR2</t>
  </si>
  <si>
    <t xml:space="preserve">MER and blended CAC</t>
  </si>
  <si>
    <t xml:space="preserve">GR4</t>
  </si>
  <si>
    <t xml:space="preserve">Platform-reported vs real conversions reconciled</t>
  </si>
  <si>
    <t xml:space="preserve">GR5</t>
  </si>
  <si>
    <t xml:space="preserve">Budget reallocation recommendations</t>
  </si>
  <si>
    <t xml:space="preserve">GR7</t>
  </si>
  <si>
    <t xml:space="preserve">Daily spend anomaly alerts</t>
  </si>
  <si>
    <t xml:space="preserve">GR20</t>
  </si>
  <si>
    <t xml:space="preserve">Spend scenarios ("+20% on Meta → 90-day cash")</t>
  </si>
  <si>
    <t xml:space="preserve">OP1</t>
  </si>
  <si>
    <t xml:space="preserve">Operations / inventory lead</t>
  </si>
  <si>
    <t xml:space="preserve">Stock cover against supplier lead times</t>
  </si>
  <si>
    <t xml:space="preserve">OP2</t>
  </si>
  <si>
    <t xml:space="preserve">Stock-out warnings early enough to act</t>
  </si>
  <si>
    <t xml:space="preserve">SU1</t>
  </si>
  <si>
    <t xml:space="preserve">Subscription DTC brands</t>
  </si>
  <si>
    <t xml:space="preserve">Recharge / Skio / Stay.ai connected</t>
  </si>
  <si>
    <t xml:space="preserve">MC1</t>
  </si>
  <si>
    <t xml:space="preserve">Multichannel sellers</t>
  </si>
  <si>
    <t xml:space="preserve">Shopify and Amazon in one P&amp;L</t>
  </si>
  <si>
    <t xml:space="preserve">SC3</t>
  </si>
  <si>
    <t xml:space="preserve">Scaling brands, ~$15M–$50M</t>
  </si>
  <si>
    <t xml:space="preserve">Role-based access per team</t>
  </si>
  <si>
    <t xml:space="preserve">SC13</t>
  </si>
  <si>
    <t xml:space="preserve">Audit logs</t>
  </si>
  <si>
    <t xml:space="preserve">EU1</t>
  </si>
  <si>
    <t xml:space="preserve">European brands</t>
  </si>
  <si>
    <t xml:space="preserve">EU2</t>
  </si>
  <si>
    <t xml:space="preserve">GDPR and a DPA</t>
  </si>
  <si>
    <t xml:space="preserve">EU3</t>
  </si>
  <si>
    <t xml:space="preserve">Xero, Exact and European banks / Open Banking</t>
  </si>
  <si>
    <t xml:space="preserve">CS1</t>
  </si>
  <si>
    <t xml:space="preserve">Capital questions</t>
  </si>
  <si>
    <t xml:space="preserve">How fast the money arrives</t>
  </si>
  <si>
    <t xml:space="preserve">CS2</t>
  </si>
  <si>
    <t xml:space="preserve">All-in cost</t>
  </si>
  <si>
    <t xml:space="preserve">CS3</t>
  </si>
  <si>
    <t xml:space="preserve">Eligibility thresholds</t>
  </si>
  <si>
    <t xml:space="preserve">CS7</t>
  </si>
  <si>
    <t xml:space="preserve">Available in my country</t>
  </si>
  <si>
    <t xml:space="preserve">U30</t>
  </si>
  <si>
    <t xml:space="preserve">One page per integration</t>
  </si>
  <si>
    <t xml:space="preserve">P2</t>
  </si>
  <si>
    <t xml:space="preserve">U33</t>
  </si>
  <si>
    <t xml:space="preserve">Numbers tie out to Shopify orders</t>
  </si>
  <si>
    <t xml:space="preserve">U35</t>
  </si>
  <si>
    <t xml:space="preserve">Governed metric definitions / semantic layer</t>
  </si>
  <si>
    <t xml:space="preserve">U36</t>
  </si>
  <si>
    <t xml:space="preserve">Custom cost rules (COGS, shipping, fees, overheads)</t>
  </si>
  <si>
    <t xml:space="preserve">U39</t>
  </si>
  <si>
    <t xml:space="preserve">Behaviour when data is missing or broken</t>
  </si>
  <si>
    <t xml:space="preserve">U48</t>
  </si>
  <si>
    <t xml:space="preserve">Published accuracy or validation method</t>
  </si>
  <si>
    <t xml:space="preserve">U49</t>
  </si>
  <si>
    <t xml:space="preserve">Shows its working per answer (query, sources, assumptions)</t>
  </si>
  <si>
    <t xml:space="preserve">U54</t>
  </si>
  <si>
    <t xml:space="preserve">SKU-level profit</t>
  </si>
  <si>
    <t xml:space="preserve">U55</t>
  </si>
  <si>
    <t xml:space="preserve">Profit by channel</t>
  </si>
  <si>
    <t xml:space="preserve">U77</t>
  </si>
  <si>
    <t xml:space="preserve">Cash position across banks and processors</t>
  </si>
  <si>
    <t xml:space="preserve">U81</t>
  </si>
  <si>
    <t xml:space="preserve">Benchmarks against similar brands</t>
  </si>
  <si>
    <t xml:space="preserve">U88</t>
  </si>
  <si>
    <t xml:space="preserve">Answers "why did this number move?"</t>
  </si>
  <si>
    <t xml:space="preserve">U90</t>
  </si>
  <si>
    <t xml:space="preserve">States confidence; says "I don't know"</t>
  </si>
  <si>
    <t xml:space="preserve">U91</t>
  </si>
  <si>
    <t xml:space="preserve">Cites the records behind an answer</t>
  </si>
  <si>
    <t xml:space="preserve">U112</t>
  </si>
  <si>
    <t xml:space="preserve">Implementation plan attached to each insight</t>
  </si>
  <si>
    <t xml:space="preserve">U124</t>
  </si>
  <si>
    <t xml:space="preserve">Revenue impact quantified per recommendation</t>
  </si>
  <si>
    <t xml:space="preserve">U125</t>
  </si>
  <si>
    <t xml:space="preserve">Lift measured after you act</t>
  </si>
  <si>
    <t xml:space="preserve">U156</t>
  </si>
  <si>
    <t xml:space="preserve">Sales / revenue forecast</t>
  </si>
  <si>
    <t xml:space="preserve">U160</t>
  </si>
  <si>
    <t xml:space="preserve">Ask a counterfactual on any number</t>
  </si>
  <si>
    <t xml:space="preserve">U167</t>
  </si>
  <si>
    <t xml:space="preserve">Cash across banks and payment processors</t>
  </si>
  <si>
    <t xml:space="preserve">U176</t>
  </si>
  <si>
    <t xml:space="preserve">Named, regulated lending partner</t>
  </si>
  <si>
    <t xml:space="preserve">U202</t>
  </si>
  <si>
    <t xml:space="preserve">Data access, export, API and MCP</t>
  </si>
  <si>
    <t xml:space="preserve">Export all my data</t>
  </si>
  <si>
    <t xml:space="preserve">U205</t>
  </si>
  <si>
    <t xml:space="preserve">MCP server (use Luca from Claude / ChatGPT)</t>
  </si>
  <si>
    <t xml:space="preserve">U208</t>
  </si>
  <si>
    <t xml:space="preserve">SOC 2 report</t>
  </si>
  <si>
    <t xml:space="preserve">U220</t>
  </si>
  <si>
    <t xml:space="preserve">Security page / trust centre</t>
  </si>
  <si>
    <t xml:space="preserve">T1</t>
  </si>
  <si>
    <t xml:space="preserve">Trust and proof</t>
  </si>
  <si>
    <t xml:space="preserve">G2 profile</t>
  </si>
  <si>
    <t xml:space="preserve">T3</t>
  </si>
  <si>
    <t xml:space="preserve">Capterra / GetApp / Software Advice</t>
  </si>
  <si>
    <t xml:space="preserve">T4</t>
  </si>
  <si>
    <t xml:space="preserve">Shopify App Store listing with reviews</t>
  </si>
  <si>
    <t xml:space="preserve">T7</t>
  </si>
  <si>
    <t xml:space="preserve">Named case studies with numbers</t>
  </si>
  <si>
    <t xml:space="preserve">S5</t>
  </si>
  <si>
    <t xml:space="preserve">Public help docs, indexed</t>
  </si>
  <si>
    <t xml:space="preserve">S6</t>
  </si>
  <si>
    <t xml:space="preserve">Integration setup guides</t>
  </si>
  <si>
    <t xml:space="preserve">R4</t>
  </si>
  <si>
    <t xml:space="preserve">Vendor risk</t>
  </si>
  <si>
    <t xml:space="preserve">Data portability and exit</t>
  </si>
  <si>
    <t xml:space="preserve">FD16</t>
  </si>
  <si>
    <t xml:space="preserve">Proof from founders like me</t>
  </si>
  <si>
    <t xml:space="preserve">FD23</t>
  </si>
  <si>
    <t xml:space="preserve">Shows its working so I trust the number</t>
  </si>
  <si>
    <t xml:space="preserve">FD26</t>
  </si>
  <si>
    <t xml:space="preserve">Which products make or lose money</t>
  </si>
  <si>
    <t xml:space="preserve">FD31</t>
  </si>
  <si>
    <t xml:space="preserve">Works even if my data is messy on day one</t>
  </si>
  <si>
    <t xml:space="preserve">CF3</t>
  </si>
  <si>
    <t xml:space="preserve">Contribution margin by layer (CM1 / CM2 / CM3)</t>
  </si>
  <si>
    <t xml:space="preserve">CF4</t>
  </si>
  <si>
    <t xml:space="preserve">P&amp;L by channel and by SKU</t>
  </si>
  <si>
    <t xml:space="preserve">CF14</t>
  </si>
  <si>
    <t xml:space="preserve">Export to Excel / Sheets</t>
  </si>
  <si>
    <t xml:space="preserve">CF15</t>
  </si>
  <si>
    <t xml:space="preserve">Audit trail of how every number was computed</t>
  </si>
  <si>
    <t xml:space="preserve">CF16</t>
  </si>
  <si>
    <t xml:space="preserve">Visible assumptions behind any forecast</t>
  </si>
  <si>
    <t xml:space="preserve">CF21</t>
  </si>
  <si>
    <t xml:space="preserve">Security evidence (SOC 2, DPA, sub-processors)</t>
  </si>
  <si>
    <t xml:space="preserve">GR3</t>
  </si>
  <si>
    <t xml:space="preserve">CAC by channel and by cohort</t>
  </si>
  <si>
    <t xml:space="preserve">GR9</t>
  </si>
  <si>
    <t xml:space="preserve">Klaviyo flow and campaign performance</t>
  </si>
  <si>
    <t xml:space="preserve">GR12</t>
  </si>
  <si>
    <t xml:space="preserve">Works alongside Triple Whale / Northbeam, not instead</t>
  </si>
  <si>
    <t xml:space="preserve">GR16</t>
  </si>
  <si>
    <t xml:space="preserve">LTV:CAC and payback</t>
  </si>
  <si>
    <t xml:space="preserve">OP4</t>
  </si>
  <si>
    <t xml:space="preserve">Reorder recommendations / PO drafts</t>
  </si>
  <si>
    <t xml:space="preserve">OP5</t>
  </si>
  <si>
    <t xml:space="preserve">SKU demand forecast</t>
  </si>
  <si>
    <t xml:space="preserve">OP8</t>
  </si>
  <si>
    <t xml:space="preserve">Cash impact of a purchase order</t>
  </si>
  <si>
    <t xml:space="preserve">SU5</t>
  </si>
  <si>
    <t xml:space="preserve">Subscription churn alerts</t>
  </si>
  <si>
    <t xml:space="preserve">SU7</t>
  </si>
  <si>
    <t xml:space="preserve">MRR and subscription revenue forecast</t>
  </si>
  <si>
    <t xml:space="preserve">SU8</t>
  </si>
  <si>
    <t xml:space="preserve">LTV by acquisition channel</t>
  </si>
  <si>
    <t xml:space="preserve">SU15</t>
  </si>
  <si>
    <t xml:space="preserve">A case study from a subscription brand</t>
  </si>
  <si>
    <t xml:space="preserve">MC2</t>
  </si>
  <si>
    <t xml:space="preserve">Amazon fees and FBA costs</t>
  </si>
  <si>
    <t xml:space="preserve">MC8</t>
  </si>
  <si>
    <t xml:space="preserve">One inventory view across channels</t>
  </si>
  <si>
    <t xml:space="preserve">MC9</t>
  </si>
  <si>
    <t xml:space="preserve">CAC and margin per channel</t>
  </si>
  <si>
    <t xml:space="preserve">SC1</t>
  </si>
  <si>
    <t xml:space="preserve">Governed metric definitions</t>
  </si>
  <si>
    <t xml:space="preserve">SC5</t>
  </si>
  <si>
    <t xml:space="preserve">API / MCP</t>
  </si>
  <si>
    <t xml:space="preserve">SC6</t>
  </si>
  <si>
    <t xml:space="preserve">SC11</t>
  </si>
  <si>
    <t xml:space="preserve">ERP connection</t>
  </si>
  <si>
    <t xml:space="preserve">SC14</t>
  </si>
  <si>
    <t xml:space="preserve">Published accuracy / validation</t>
  </si>
  <si>
    <t xml:space="preserve">SC15</t>
  </si>
  <si>
    <t xml:space="preserve">Works with our existing BI and analyst</t>
  </si>
  <si>
    <t xml:space="preserve">AG1</t>
  </si>
  <si>
    <t xml:space="preserve">Agency use</t>
  </si>
  <si>
    <t xml:space="preserve">One workspace across many client brands</t>
  </si>
  <si>
    <t xml:space="preserve">AG4</t>
  </si>
  <si>
    <t xml:space="preserve">Agency pricing</t>
  </si>
  <si>
    <t xml:space="preserve">MB5</t>
  </si>
  <si>
    <t xml:space="preserve">Mastercard Business Bonus merchants</t>
  </si>
  <si>
    <t xml:space="preserve">Fit for a small business</t>
  </si>
  <si>
    <t xml:space="preserve">U3</t>
  </si>
  <si>
    <t xml:space="preserve">WooCommerce</t>
  </si>
  <si>
    <t xml:space="preserve">P3</t>
  </si>
  <si>
    <t xml:space="preserve">U4</t>
  </si>
  <si>
    <t xml:space="preserve">Magento / Adobe Commerce</t>
  </si>
  <si>
    <t xml:space="preserve">Low</t>
  </si>
  <si>
    <t xml:space="preserve">U5</t>
  </si>
  <si>
    <t xml:space="preserve">BigCommerce</t>
  </si>
  <si>
    <t xml:space="preserve">U8</t>
  </si>
  <si>
    <t xml:space="preserve">TikTok Ads</t>
  </si>
  <si>
    <t xml:space="preserve">U9</t>
  </si>
  <si>
    <t xml:space="preserve">Long-tail paid (Pinterest, Snap, Microsoft)</t>
  </si>
  <si>
    <t xml:space="preserve">U13</t>
  </si>
  <si>
    <t xml:space="preserve">SMS (Attentive, Postscript)</t>
  </si>
  <si>
    <t xml:space="preserve">U16</t>
  </si>
  <si>
    <t xml:space="preserve">PayPal, Square, Adyen</t>
  </si>
  <si>
    <t xml:space="preserve">U19</t>
  </si>
  <si>
    <t xml:space="preserve">Exact (EU accounting)</t>
  </si>
  <si>
    <t xml:space="preserve">U20</t>
  </si>
  <si>
    <t xml:space="preserve">Banking (Open Banking, Plaid, Wise, BBVA, bank APIs)</t>
  </si>
  <si>
    <t xml:space="preserve">U21</t>
  </si>
  <si>
    <t xml:space="preserve">3PL / shipping (ShipBob, ShipStation, WMS)</t>
  </si>
  <si>
    <t xml:space="preserve">U23</t>
  </si>
  <si>
    <t xml:space="preserve">Helpdesk (Gorgias, Zendesk)</t>
  </si>
  <si>
    <t xml:space="preserve">U24</t>
  </si>
  <si>
    <t xml:space="preserve">Post-purchase surveys (Fairing, KnoCommerce)</t>
  </si>
  <si>
    <t xml:space="preserve">U25</t>
  </si>
  <si>
    <t xml:space="preserve">Marketplaces beyond Amazon (Walmart, eBay, TikTok Shop, Etsy)</t>
  </si>
  <si>
    <t xml:space="preserve">U26</t>
  </si>
  <si>
    <t xml:space="preserve">Retail / wholesale / POS data</t>
  </si>
  <si>
    <t xml:space="preserve">U38</t>
  </si>
  <si>
    <t xml:space="preserve">Historical backfill depth</t>
  </si>
  <si>
    <t xml:space="preserve">U40</t>
  </si>
  <si>
    <t xml:space="preserve">Multi-currency normalisation</t>
  </si>
  <si>
    <t xml:space="preserve">U41</t>
  </si>
  <si>
    <t xml:space="preserve">Data-quality / duplicate detection</t>
  </si>
  <si>
    <t xml:space="preserve">U42</t>
  </si>
  <si>
    <t xml:space="preserve">First-party pixel / server-side tracking</t>
  </si>
  <si>
    <t xml:space="preserve">U43</t>
  </si>
  <si>
    <t xml:space="preserve">Multi-touch attribution</t>
  </si>
  <si>
    <t xml:space="preserve">U44</t>
  </si>
  <si>
    <t xml:space="preserve">MMM / incrementality testing</t>
  </si>
  <si>
    <t xml:space="preserve">U46</t>
  </si>
  <si>
    <t xml:space="preserve">Dedicated per-customer data store</t>
  </si>
  <si>
    <t xml:space="preserve">U47</t>
  </si>
  <si>
    <t xml:space="preserve">Pipeline uptime / reliability stated</t>
  </si>
  <si>
    <t xml:space="preserve">U52</t>
  </si>
  <si>
    <t xml:space="preserve">Contribution per order</t>
  </si>
  <si>
    <t xml:space="preserve">U56</t>
  </si>
  <si>
    <t xml:space="preserve">Returns and refunds in profit</t>
  </si>
  <si>
    <t xml:space="preserve">U57</t>
  </si>
  <si>
    <t xml:space="preserve">Discount / promo impact</t>
  </si>
  <si>
    <t xml:space="preserve">U58</t>
  </si>
  <si>
    <t xml:space="preserve">Marketplace and payment fees</t>
  </si>
  <si>
    <t xml:space="preserve">U62</t>
  </si>
  <si>
    <t xml:space="preserve">CAC payback</t>
  </si>
  <si>
    <t xml:space="preserve">U63</t>
  </si>
  <si>
    <t xml:space="preserve">Ads as % of revenue</t>
  </si>
  <si>
    <t xml:space="preserve">U64</t>
  </si>
  <si>
    <t xml:space="preserve">Creative-level performance</t>
  </si>
  <si>
    <t xml:space="preserve">U66</t>
  </si>
  <si>
    <t xml:space="preserve">Predictive LTV</t>
  </si>
  <si>
    <t xml:space="preserve">U68</t>
  </si>
  <si>
    <t xml:space="preserve">Repeat-purchase rate (60/90-day)</t>
  </si>
  <si>
    <t xml:space="preserve">U70</t>
  </si>
  <si>
    <t xml:space="preserve">RFM / segments</t>
  </si>
  <si>
    <t xml:space="preserve">U71</t>
  </si>
  <si>
    <t xml:space="preserve">New vs returning</t>
  </si>
  <si>
    <t xml:space="preserve">U72</t>
  </si>
  <si>
    <t xml:space="preserve">Market-basket analysis</t>
  </si>
  <si>
    <t xml:space="preserve">U75</t>
  </si>
  <si>
    <t xml:space="preserve">Overstock / aged inventory</t>
  </si>
  <si>
    <t xml:space="preserve">U76</t>
  </si>
  <si>
    <t xml:space="preserve">Reorder point</t>
  </si>
  <si>
    <t xml:space="preserve">U79</t>
  </si>
  <si>
    <t xml:space="preserve">Working capital / cash-conversion cycle</t>
  </si>
  <si>
    <t xml:space="preserve">U80</t>
  </si>
  <si>
    <t xml:space="preserve">Business health score</t>
  </si>
  <si>
    <t xml:space="preserve">U82</t>
  </si>
  <si>
    <t xml:space="preserve">Custom metrics / KPIs</t>
  </si>
  <si>
    <t xml:space="preserve">U83</t>
  </si>
  <si>
    <t xml:space="preserve">Goals and pacing to plan</t>
  </si>
  <si>
    <t xml:space="preserve">U89</t>
  </si>
  <si>
    <t xml:space="preserve">Asks clarifying questions</t>
  </si>
  <si>
    <t xml:space="preserve">U95</t>
  </si>
  <si>
    <t xml:space="preserve">WhatsApp</t>
  </si>
  <si>
    <t xml:space="preserve">U96</t>
  </si>
  <si>
    <t xml:space="preserve">Email</t>
  </si>
  <si>
    <t xml:space="preserve">U97</t>
  </si>
  <si>
    <t xml:space="preserve">Native mobile app</t>
  </si>
  <si>
    <t xml:space="preserve">U98</t>
  </si>
  <si>
    <t xml:space="preserve">Voice</t>
  </si>
  <si>
    <t xml:space="preserve">U99</t>
  </si>
  <si>
    <t xml:space="preserve">50+ languages</t>
  </si>
  <si>
    <t xml:space="preserve">U100</t>
  </si>
  <si>
    <t xml:space="preserve">Saved prompts / prompt library</t>
  </si>
  <si>
    <t xml:space="preserve">U101</t>
  </si>
  <si>
    <t xml:space="preserve">Web search blended with business data</t>
  </si>
  <si>
    <t xml:space="preserve">U102</t>
  </si>
  <si>
    <t xml:space="preserve">General business questions (HR, compliance, content)</t>
  </si>
  <si>
    <t xml:space="preserve">U108</t>
  </si>
  <si>
    <t xml:space="preserve">Cohort-decay / retention-regression alerts</t>
  </si>
  <si>
    <t xml:space="preserve">U109</t>
  </si>
  <si>
    <t xml:space="preserve">Margin-drift alerts</t>
  </si>
  <si>
    <t xml:space="preserve">U111</t>
  </si>
  <si>
    <t xml:space="preserve">Impact × Ease scoring of each insight</t>
  </si>
  <si>
    <t xml:space="preserve">U113</t>
  </si>
  <si>
    <t xml:space="preserve">Feedback loop (useful / more like this)</t>
  </si>
  <si>
    <t xml:space="preserve">U115</t>
  </si>
  <si>
    <t xml:space="preserve">Auto-built board / investor pack (PDF), QBR</t>
  </si>
  <si>
    <t xml:space="preserve">U116</t>
  </si>
  <si>
    <t xml:space="preserve">Competitor price, sentiment and brand-mention monitoring</t>
  </si>
  <si>
    <t xml:space="preserve">U117</t>
  </si>
  <si>
    <t xml:space="preserve">Connection-health / data-freshness alerts</t>
  </si>
  <si>
    <t xml:space="preserve">U121</t>
  </si>
  <si>
    <t xml:space="preserve">Pricing / elasticity recommendations</t>
  </si>
  <si>
    <t xml:space="preserve">U122</t>
  </si>
  <si>
    <t xml:space="preserve">Purchase-order / inventory recommendations</t>
  </si>
  <si>
    <t xml:space="preserve">U123</t>
  </si>
  <si>
    <t xml:space="preserve">Promo and discount strategy</t>
  </si>
  <si>
    <t xml:space="preserve">U126</t>
  </si>
  <si>
    <t xml:space="preserve">Decision log</t>
  </si>
  <si>
    <t xml:space="preserve">U130</t>
  </si>
  <si>
    <t xml:space="preserve">Rotate ad creative</t>
  </si>
  <si>
    <t xml:space="preserve">U133</t>
  </si>
  <si>
    <t xml:space="preserve">Publish to social channels</t>
  </si>
  <si>
    <t xml:space="preserve">U134</t>
  </si>
  <si>
    <t xml:space="preserve">Stripe actions</t>
  </si>
  <si>
    <t xml:space="preserve">U135</t>
  </si>
  <si>
    <t xml:space="preserve">Draft reorders / purchase orders</t>
  </si>
  <si>
    <t xml:space="preserve">U136</t>
  </si>
  <si>
    <t xml:space="preserve">Send reports by email / PDF</t>
  </si>
  <si>
    <t xml:space="preserve">U139</t>
  </si>
  <si>
    <t xml:space="preserve">Multi-step approval (founder, CFO)</t>
  </si>
  <si>
    <t xml:space="preserve">U142</t>
  </si>
  <si>
    <t xml:space="preserve">Create-as-paused / staging</t>
  </si>
  <si>
    <t xml:space="preserve">U145</t>
  </si>
  <si>
    <t xml:space="preserve">Agent credentials separate from admin credentials</t>
  </si>
  <si>
    <t xml:space="preserve">U149</t>
  </si>
  <si>
    <t xml:space="preserve">Learns preferences and communication style</t>
  </si>
  <si>
    <t xml:space="preserve">U150</t>
  </si>
  <si>
    <t xml:space="preserve">Learns from insights acted on vs ignored</t>
  </si>
  <si>
    <t xml:space="preserve">U151</t>
  </si>
  <si>
    <t xml:space="preserve">Custom business terminology</t>
  </si>
  <si>
    <t xml:space="preserve">U152</t>
  </si>
  <si>
    <t xml:space="preserve">Role lenses (Growth, Finance, Operations)</t>
  </si>
  <si>
    <t xml:space="preserve">U153</t>
  </si>
  <si>
    <t xml:space="preserve">Cross-customer learning</t>
  </si>
  <si>
    <t xml:space="preserve">U154</t>
  </si>
  <si>
    <t xml:space="preserve">User can inspect, edit and delete memory</t>
  </si>
  <si>
    <t xml:space="preserve">U155</t>
  </si>
  <si>
    <t xml:space="preserve">Self-improving intelligence loops</t>
  </si>
  <si>
    <t xml:space="preserve">U158</t>
  </si>
  <si>
    <t xml:space="preserve">Demand / stock forecast by SKU</t>
  </si>
  <si>
    <t xml:space="preserve">U161</t>
  </si>
  <si>
    <t xml:space="preserve">Budget / annual plan and pacing</t>
  </si>
  <si>
    <t xml:space="preserve">U162</t>
  </si>
  <si>
    <t xml:space="preserve">Seasonality-aware forecasting (Q4, BFCM)</t>
  </si>
  <si>
    <t xml:space="preserve">U163</t>
  </si>
  <si>
    <t xml:space="preserve">Forecast accuracy stated</t>
  </si>
  <si>
    <t xml:space="preserve">U164</t>
  </si>
  <si>
    <t xml:space="preserve">Margin and price-elasticity modelling</t>
  </si>
  <si>
    <t xml:space="preserve">U169</t>
  </si>
  <si>
    <t xml:space="preserve">Board and investor reporting</t>
  </si>
  <si>
    <t xml:space="preserve">U170</t>
  </si>
  <si>
    <t xml:space="preserve">Funding need detected from the data</t>
  </si>
  <si>
    <t xml:space="preserve">U172</t>
  </si>
  <si>
    <t xml:space="preserve">Advance size stated once</t>
  </si>
  <si>
    <t xml:space="preserve">U174</t>
  </si>
  <si>
    <t xml:space="preserve">Repayment as % of daily sales</t>
  </si>
  <si>
    <t xml:space="preserve">U175</t>
  </si>
  <si>
    <t xml:space="preserve">No personal guarantee, equity or covenants</t>
  </si>
  <si>
    <t xml:space="preserve">U177</t>
  </si>
  <si>
    <t xml:space="preserve">Pricing tied to a live health score</t>
  </si>
  <si>
    <t xml:space="preserve">U181</t>
  </si>
  <si>
    <t xml:space="preserve">Segment builder / audience sync to Klaviyo or Meta</t>
  </si>
  <si>
    <t xml:space="preserve">U182</t>
  </si>
  <si>
    <t xml:space="preserve">Retention actions by cohort</t>
  </si>
  <si>
    <t xml:space="preserve">U184</t>
  </si>
  <si>
    <t xml:space="preserve">Wholesale / B2B</t>
  </si>
  <si>
    <t xml:space="preserve">U185</t>
  </si>
  <si>
    <t xml:space="preserve">Multi-store roll-up</t>
  </si>
  <si>
    <t xml:space="preserve">U186</t>
  </si>
  <si>
    <t xml:space="preserve">Multi-currency reporting</t>
  </si>
  <si>
    <t xml:space="preserve">U188</t>
  </si>
  <si>
    <t xml:space="preserve">Multiple brands in one account</t>
  </si>
  <si>
    <t xml:space="preserve">U190</t>
  </si>
  <si>
    <t xml:space="preserve">Custom dashboards</t>
  </si>
  <si>
    <t xml:space="preserve">U193</t>
  </si>
  <si>
    <t xml:space="preserve">PDF board pack</t>
  </si>
  <si>
    <t xml:space="preserve">U194</t>
  </si>
  <si>
    <t xml:space="preserve">Export to Sheets / CSV</t>
  </si>
  <si>
    <t xml:space="preserve">U195</t>
  </si>
  <si>
    <t xml:space="preserve">Shareable / white-label reports</t>
  </si>
  <si>
    <t xml:space="preserve">U199</t>
  </si>
  <si>
    <t xml:space="preserve">Insights routed to the right role</t>
  </si>
  <si>
    <t xml:space="preserve">U200</t>
  </si>
  <si>
    <t xml:space="preserve">SSO</t>
  </si>
  <si>
    <t xml:space="preserve">U201</t>
  </si>
  <si>
    <t xml:space="preserve">Shared threads / comments</t>
  </si>
  <si>
    <t xml:space="preserve">U203</t>
  </si>
  <si>
    <t xml:space="preserve">Warehouse access (BigQuery / Snowflake)</t>
  </si>
  <si>
    <t xml:space="preserve">U204</t>
  </si>
  <si>
    <t xml:space="preserve">Public API</t>
  </si>
  <si>
    <t xml:space="preserve">U206</t>
  </si>
  <si>
    <t xml:space="preserve">Native ChatGPT / Claude app</t>
  </si>
  <si>
    <t xml:space="preserve">U207</t>
  </si>
  <si>
    <t xml:space="preserve">Webhooks</t>
  </si>
  <si>
    <t xml:space="preserve">U209</t>
  </si>
  <si>
    <t xml:space="preserve">ISO 27001</t>
  </si>
  <si>
    <t xml:space="preserve">U215</t>
  </si>
  <si>
    <t xml:space="preserve">Only the fields a query needs go to the model</t>
  </si>
  <si>
    <t xml:space="preserve">U217</t>
  </si>
  <si>
    <t xml:space="preserve">Anonymised benchmarking use disclosed</t>
  </si>
  <si>
    <t xml:space="preserve">U221</t>
  </si>
  <si>
    <t xml:space="preserve">Penetration test / vulnerability disclosure</t>
  </si>
  <si>
    <t xml:space="preserve">CO7</t>
  </si>
  <si>
    <t xml:space="preserve">Free plan</t>
  </si>
  <si>
    <t xml:space="preserve">CO14</t>
  </si>
  <si>
    <t xml:space="preserve">No overage or hidden fees</t>
  </si>
  <si>
    <t xml:space="preserve">CO20</t>
  </si>
  <si>
    <t xml:space="preserve">Capital fees separate from the subscription</t>
  </si>
  <si>
    <t xml:space="preserve">T5</t>
  </si>
  <si>
    <t xml:space="preserve">Trustpilot</t>
  </si>
  <si>
    <t xml:space="preserve">T6</t>
  </si>
  <si>
    <t xml:space="preserve">Product Hunt launch</t>
  </si>
  <si>
    <t xml:space="preserve">T10</t>
  </si>
  <si>
    <t xml:space="preserve">Customer count sourced</t>
  </si>
  <si>
    <t xml:space="preserve">T11</t>
  </si>
  <si>
    <t xml:space="preserve">Performance stats sourced</t>
  </si>
  <si>
    <t xml:space="preserve">T12</t>
  </si>
  <si>
    <t xml:space="preserve">Partner badges</t>
  </si>
  <si>
    <t xml:space="preserve">T13</t>
  </si>
  <si>
    <t xml:space="preserve">Investor / backer credibility</t>
  </si>
  <si>
    <t xml:space="preserve">T17</t>
  </si>
  <si>
    <t xml:space="preserve">Press and funding coverage</t>
  </si>
  <si>
    <t xml:space="preserve">S8</t>
  </si>
  <si>
    <t xml:space="preserve">Named success manager</t>
  </si>
  <si>
    <t xml:space="preserve">S9</t>
  </si>
  <si>
    <t xml:space="preserve">Shared Slack / WhatsApp channel with the team</t>
  </si>
  <si>
    <t xml:space="preserve">S13</t>
  </si>
  <si>
    <t xml:space="preserve">Status page</t>
  </si>
  <si>
    <t xml:space="preserve">S14</t>
  </si>
  <si>
    <t xml:space="preserve">Migration help from Triple Whale / Polar / spreadsheets</t>
  </si>
  <si>
    <t xml:space="preserve">S15</t>
  </si>
  <si>
    <t xml:space="preserve">Written implementation timeline</t>
  </si>
  <si>
    <t xml:space="preserve">R3</t>
  </si>
  <si>
    <t xml:space="preserve">Funding / runway signal</t>
  </si>
  <si>
    <t xml:space="preserve">R11</t>
  </si>
  <si>
    <t xml:space="preserve">Public roadmap</t>
  </si>
  <si>
    <t xml:space="preserve">R13</t>
  </si>
  <si>
    <t xml:space="preserve">References available on request</t>
  </si>
  <si>
    <t xml:space="preserve">FD12</t>
  </si>
  <si>
    <t xml:space="preserve">Use it from WhatsApp or Slack on my phone</t>
  </si>
  <si>
    <t xml:space="preserve">FD14</t>
  </si>
  <si>
    <t xml:space="preserve">Writes my board / investor update</t>
  </si>
  <si>
    <t xml:space="preserve">FD15</t>
  </si>
  <si>
    <t xml:space="preserve">How I compare with brands like mine</t>
  </si>
  <si>
    <t xml:space="preserve">FD22</t>
  </si>
  <si>
    <t xml:space="preserve">Funding if the numbers justify it</t>
  </si>
  <si>
    <t xml:space="preserve">FD24</t>
  </si>
  <si>
    <t xml:space="preserve">A weekly review I can run in fifteen minutes</t>
  </si>
  <si>
    <t xml:space="preserve">FD27</t>
  </si>
  <si>
    <t xml:space="preserve">Did my sale / promo make money?</t>
  </si>
  <si>
    <t xml:space="preserve">FD28</t>
  </si>
  <si>
    <t xml:space="preserve">Q4 / BFCM planning</t>
  </si>
  <si>
    <t xml:space="preserve">FD32</t>
  </si>
  <si>
    <t xml:space="preserve">Gets smarter the longer I use it</t>
  </si>
  <si>
    <t xml:space="preserve">FD33</t>
  </si>
  <si>
    <t xml:space="preserve">Works well on mobile</t>
  </si>
  <si>
    <t xml:space="preserve">FD34</t>
  </si>
  <si>
    <t xml:space="preserve">Exit / fundraise-ready reporting</t>
  </si>
  <si>
    <t xml:space="preserve">FD35</t>
  </si>
  <si>
    <t xml:space="preserve">Marketing content help in the same tool</t>
  </si>
  <si>
    <t xml:space="preserve">CF7</t>
  </si>
  <si>
    <t xml:space="preserve">Inventory as working capital</t>
  </si>
  <si>
    <t xml:space="preserve">CF8</t>
  </si>
  <si>
    <t xml:space="preserve">Payment-processor fees and payouts reconciled</t>
  </si>
  <si>
    <t xml:space="preserve">CF9</t>
  </si>
  <si>
    <t xml:space="preserve">Returns and refunds accrued correctly</t>
  </si>
  <si>
    <t xml:space="preserve">CF10</t>
  </si>
  <si>
    <t xml:space="preserve">COGS method stated (average, FIFO, landed cost)</t>
  </si>
  <si>
    <t xml:space="preserve">CF11</t>
  </si>
  <si>
    <t xml:space="preserve">Multi-entity and multi-currency</t>
  </si>
  <si>
    <t xml:space="preserve">CF12</t>
  </si>
  <si>
    <t xml:space="preserve">Budget vs actual</t>
  </si>
  <si>
    <t xml:space="preserve">CF13</t>
  </si>
  <si>
    <t xml:space="preserve">Board pack in our format</t>
  </si>
  <si>
    <t xml:space="preserve">CF20</t>
  </si>
  <si>
    <t xml:space="preserve">Named lender, no covenants or personal guarantee</t>
  </si>
  <si>
    <t xml:space="preserve">CF23</t>
  </si>
  <si>
    <t xml:space="preserve">VAT / sales-tax awareness</t>
  </si>
  <si>
    <t xml:space="preserve">CF24</t>
  </si>
  <si>
    <t xml:space="preserve">Runway and covenant-style alerts</t>
  </si>
  <si>
    <t xml:space="preserve">GR6</t>
  </si>
  <si>
    <t xml:space="preserve">Pause / scale ads with my approval</t>
  </si>
  <si>
    <t xml:space="preserve">GR8</t>
  </si>
  <si>
    <t xml:space="preserve">GR10</t>
  </si>
  <si>
    <t xml:space="preserve">GR11</t>
  </si>
  <si>
    <t xml:space="preserve">Incrementality testing</t>
  </si>
  <si>
    <t xml:space="preserve">GR13</t>
  </si>
  <si>
    <t xml:space="preserve">Competitor ad and promo monitoring</t>
  </si>
  <si>
    <t xml:space="preserve">GR14</t>
  </si>
  <si>
    <t xml:space="preserve">Promo-calendar impact</t>
  </si>
  <si>
    <t xml:space="preserve">GR15</t>
  </si>
  <si>
    <t xml:space="preserve">New vs returning customer economics</t>
  </si>
  <si>
    <t xml:space="preserve">GR17</t>
  </si>
  <si>
    <t xml:space="preserve">TikTok Ads coverage</t>
  </si>
  <si>
    <t xml:space="preserve">GR18</t>
  </si>
  <si>
    <t xml:space="preserve">Google Shopping / Performance Max breakdown</t>
  </si>
  <si>
    <t xml:space="preserve">GR19</t>
  </si>
  <si>
    <t xml:space="preserve">Amazon Ads</t>
  </si>
  <si>
    <t xml:space="preserve">GR22</t>
  </si>
  <si>
    <t xml:space="preserve">A report the founder actually reads</t>
  </si>
  <si>
    <t xml:space="preserve">GR24</t>
  </si>
  <si>
    <t xml:space="preserve">AI-search / SEO visibility signals</t>
  </si>
  <si>
    <t xml:space="preserve">GR25</t>
  </si>
  <si>
    <t xml:space="preserve">Landing-page performance</t>
  </si>
  <si>
    <t xml:space="preserve">OP3</t>
  </si>
  <si>
    <t xml:space="preserve">Overstock and slow movers</t>
  </si>
  <si>
    <t xml:space="preserve">OP6</t>
  </si>
  <si>
    <t xml:space="preserve">3PL / WMS data connected</t>
  </si>
  <si>
    <t xml:space="preserve">OP7</t>
  </si>
  <si>
    <t xml:space="preserve">Supplier lead times and MOQs held as context</t>
  </si>
  <si>
    <t xml:space="preserve">OP9</t>
  </si>
  <si>
    <t xml:space="preserve">Return rates by SKU</t>
  </si>
  <si>
    <t xml:space="preserve">OP10</t>
  </si>
  <si>
    <t xml:space="preserve">Shipping cost per order</t>
  </si>
  <si>
    <t xml:space="preserve">OP11</t>
  </si>
  <si>
    <t xml:space="preserve">Multi-warehouse view</t>
  </si>
  <si>
    <t xml:space="preserve">OP12</t>
  </si>
  <si>
    <t xml:space="preserve">Seasonality in stock planning</t>
  </si>
  <si>
    <t xml:space="preserve">OP13</t>
  </si>
  <si>
    <t xml:space="preserve">Bundles and kits handled</t>
  </si>
  <si>
    <t xml:space="preserve">OP14</t>
  </si>
  <si>
    <t xml:space="preserve">Amazon FBA inventory</t>
  </si>
  <si>
    <t xml:space="preserve">OP15</t>
  </si>
  <si>
    <t xml:space="preserve">SU9</t>
  </si>
  <si>
    <t xml:space="preserve">Failed payments and dunning</t>
  </si>
  <si>
    <t xml:space="preserve">SU10</t>
  </si>
  <si>
    <t xml:space="preserve">Subscriber vs one-time margin</t>
  </si>
  <si>
    <t xml:space="preserve">SU11</t>
  </si>
  <si>
    <t xml:space="preserve">Plan and frequency mix</t>
  </si>
  <si>
    <t xml:space="preserve">SU12</t>
  </si>
  <si>
    <t xml:space="preserve">Churn reasons</t>
  </si>
  <si>
    <t xml:space="preserve">SU13</t>
  </si>
  <si>
    <t xml:space="preserve">Save offers (action)</t>
  </si>
  <si>
    <t xml:space="preserve">SU14</t>
  </si>
  <si>
    <t xml:space="preserve">Klaviyo sync of at-risk subscribers</t>
  </si>
  <si>
    <t xml:space="preserve">MC3</t>
  </si>
  <si>
    <t xml:space="preserve">Walmart, TikTok Shop, eBay</t>
  </si>
  <si>
    <t xml:space="preserve">MC4</t>
  </si>
  <si>
    <t xml:space="preserve">Wholesale / B2B orders</t>
  </si>
  <si>
    <t xml:space="preserve">MC5</t>
  </si>
  <si>
    <t xml:space="preserve">Retail / POS</t>
  </si>
  <si>
    <t xml:space="preserve">MC6</t>
  </si>
  <si>
    <t xml:space="preserve">Channel cannibalisation</t>
  </si>
  <si>
    <t xml:space="preserve">MC7</t>
  </si>
  <si>
    <t xml:space="preserve">Marketplace ads</t>
  </si>
  <si>
    <t xml:space="preserve">MC10</t>
  </si>
  <si>
    <t xml:space="preserve">Marketplace payouts reconciled</t>
  </si>
  <si>
    <t xml:space="preserve">MC11</t>
  </si>
  <si>
    <t xml:space="preserve">Multi-currency, multi-region</t>
  </si>
  <si>
    <t xml:space="preserve">MC12</t>
  </si>
  <si>
    <t xml:space="preserve">MC13</t>
  </si>
  <si>
    <t xml:space="preserve">Country-level P&amp;L</t>
  </si>
  <si>
    <t xml:space="preserve">MC14</t>
  </si>
  <si>
    <t xml:space="preserve">Amazon-specific alerts (Buy Box, stock)</t>
  </si>
  <si>
    <t xml:space="preserve">MC15</t>
  </si>
  <si>
    <t xml:space="preserve">Compared with Amazon Lending for capital</t>
  </si>
  <si>
    <t xml:space="preserve">SC2</t>
  </si>
  <si>
    <t xml:space="preserve">SC4</t>
  </si>
  <si>
    <t xml:space="preserve">Warehouse access</t>
  </si>
  <si>
    <t xml:space="preserve">SC7</t>
  </si>
  <si>
    <t xml:space="preserve">Role lenses for growth, finance and ops</t>
  </si>
  <si>
    <t xml:space="preserve">SC9</t>
  </si>
  <si>
    <t xml:space="preserve">SC10</t>
  </si>
  <si>
    <t xml:space="preserve">Uptime SLA</t>
  </si>
  <si>
    <t xml:space="preserve">SC12</t>
  </si>
  <si>
    <t xml:space="preserve">Data residency</t>
  </si>
  <si>
    <t xml:space="preserve">EU5</t>
  </si>
  <si>
    <t xml:space="preserve">EU6</t>
  </si>
  <si>
    <t xml:space="preserve">VAT / OSS awareness</t>
  </si>
  <si>
    <t xml:space="preserve">EU7</t>
  </si>
  <si>
    <t xml:space="preserve">Local languages</t>
  </si>
  <si>
    <t xml:space="preserve">EU8</t>
  </si>
  <si>
    <t xml:space="preserve">Capital available in my country</t>
  </si>
  <si>
    <t xml:space="preserve">EU9</t>
  </si>
  <si>
    <t xml:space="preserve">UK/EU entity and support hours</t>
  </si>
  <si>
    <t xml:space="preserve">EU10</t>
  </si>
  <si>
    <t xml:space="preserve">Adyen, Klarna and local payment methods</t>
  </si>
  <si>
    <t xml:space="preserve">EU11</t>
  </si>
  <si>
    <t xml:space="preserve">European case studies</t>
  </si>
  <si>
    <t xml:space="preserve">AG2</t>
  </si>
  <si>
    <t xml:space="preserve">White-label client reports</t>
  </si>
  <si>
    <t xml:space="preserve">AG3</t>
  </si>
  <si>
    <t xml:space="preserve">Fast switching between clients</t>
  </si>
  <si>
    <t xml:space="preserve">AG5</t>
  </si>
  <si>
    <t xml:space="preserve">Partner / referral programme</t>
  </si>
  <si>
    <t xml:space="preserve">AG6</t>
  </si>
  <si>
    <t xml:space="preserve">Per-client permissions</t>
  </si>
  <si>
    <t xml:space="preserve">AG7</t>
  </si>
  <si>
    <t xml:space="preserve">Templates reused across clients</t>
  </si>
  <si>
    <t xml:space="preserve">AG8</t>
  </si>
  <si>
    <t xml:space="preserve">Portfolio benchmarks</t>
  </si>
  <si>
    <t xml:space="preserve">AG9</t>
  </si>
  <si>
    <t xml:space="preserve">Export for client decks</t>
  </si>
  <si>
    <t xml:space="preserve">AG10</t>
  </si>
  <si>
    <t xml:space="preserve">Revenue share</t>
  </si>
  <si>
    <t xml:space="preserve">CS4</t>
  </si>
  <si>
    <t xml:space="preserve">No personal guarantee</t>
  </si>
  <si>
    <t xml:space="preserve">CS5</t>
  </si>
  <si>
    <t xml:space="preserve">Flexible repayment</t>
  </si>
  <si>
    <t xml:space="preserve">CS6</t>
  </si>
  <si>
    <t xml:space="preserve">Size of advance</t>
  </si>
  <si>
    <t xml:space="preserve">CS8</t>
  </si>
  <si>
    <t xml:space="preserve">Compared with Shopify Capital, Wayflyer, Clearco</t>
  </si>
  <si>
    <t xml:space="preserve">CS9</t>
  </si>
  <si>
    <t xml:space="preserve">No hard credit check</t>
  </si>
  <si>
    <t xml:space="preserve">CS10</t>
  </si>
  <si>
    <t xml:space="preserve">Ongoing access as I grow</t>
  </si>
  <si>
    <t xml:space="preserve">MB3</t>
  </si>
  <si>
    <t xml:space="preserve">Priority onboarding</t>
  </si>
  <si>
    <t xml:space="preserve">MB7</t>
  </si>
  <si>
    <t xml:space="preserve">How to redeem</t>
  </si>
  <si>
    <t xml:space="preserve">MB8</t>
  </si>
  <si>
    <t xml:space="preserve">Support for partner merchants</t>
  </si>
  <si>
    <t xml:space="preserve">What v1 documents</t>
  </si>
  <si>
    <t xml:space="preserve">Page</t>
  </si>
  <si>
    <t xml:space="preserve">Status in v1</t>
  </si>
  <si>
    <t xml:space="preserve">Scope we state</t>
  </si>
  <si>
    <t xml:space="preserve">What we based it on</t>
  </si>
  <si>
    <t xml:space="preserve">Correct? (yours)</t>
  </si>
  <si>
    <t xml:space="preserve">Correction</t>
  </si>
  <si>
    <t xml:space="preserve">Slack app</t>
  </si>
  <si>
    <t xml:space="preserve">/integrations/workspace/slack/</t>
  </si>
  <si>
    <t xml:space="preserve">Available</t>
  </si>
  <si>
    <t xml:space="preserve">Add Luca to Slack…</t>
  </si>
  <si>
    <t xml:space="preserve">Edit</t>
  </si>
  <si>
    <t xml:space="preserve">Also works in Slack Connect channels.</t>
  </si>
  <si>
    <t xml:space="preserve">U1</t>
  </si>
  <si>
    <t xml:space="preserve">Shopify connector</t>
  </si>
  <si>
    <t xml:space="preserve">/integrations/commerce/shopify/</t>
  </si>
  <si>
    <t xml:space="preserve">Shopify appears as a connected source in Luca's Connect &amp; Setup screen, with connection states Connected, Completed and Syncing. · The website tells new users to start with Shopify or Amazon, then add advertising, analytics and finance sources. · Shopify data was reconciled with subscription and accounting data into Numbers for a live client.</t>
  </si>
  <si>
    <t xml:space="preserve">U2</t>
  </si>
  <si>
    <t xml:space="preserve">Amazon connector</t>
  </si>
  <si>
    <t xml:space="preserve">/integrations/commerce/amazon/</t>
  </si>
  <si>
    <t xml:space="preserve">Amazon is listed as a data connection in Luca's product walkthrough. · The website names Amazon, alongside Shopify, as a starting source.</t>
  </si>
  <si>
    <t xml:space="preserve">U6</t>
  </si>
  <si>
    <t xml:space="preserve">Meta Ads connector</t>
  </si>
  <si>
    <t xml:space="preserve">/integrations/advertising/meta-ads/</t>
  </si>
  <si>
    <t xml:space="preserve">Meta / Facebook Ads appears as connected in the Connect &amp; Setup screen.</t>
  </si>
  <si>
    <t xml:space="preserve">U7</t>
  </si>
  <si>
    <t xml:space="preserve">Google Ads connector</t>
  </si>
  <si>
    <t xml:space="preserve">/integrations/advertising/google-ads/</t>
  </si>
  <si>
    <t xml:space="preserve">Google Ads appears as connected in the Connect &amp; Setup screen. · Luca's privacy policy states that Luca's access to Google accounts is read-only and that Luca does not write to, change or delete anything in your Google accounts.</t>
  </si>
  <si>
    <t xml:space="preserve">U10</t>
  </si>
  <si>
    <t xml:space="preserve">Google Analytics 4 connector</t>
  </si>
  <si>
    <t xml:space="preserve">/integrations/analytics/google-analytics-4/</t>
  </si>
  <si>
    <t xml:space="preserve">Google Analytics is part of the data Eric described Luca reasoning across. · Google Analytics is listed as a data connection in the product walkthrough. · Google data is handled under Google's API Limited Use policy and is deleted within 30 days of disconnecting.</t>
  </si>
  <si>
    <t xml:space="preserve">U11</t>
  </si>
  <si>
    <t xml:space="preserve">Google Search Console connector</t>
  </si>
  <si>
    <t xml:space="preserve">/integrations/analytics/google-search-console/</t>
  </si>
  <si>
    <t xml:space="preserve">The privacy policy names Google Search Console access with the read-only webmasters.readonly scope. · Search Console is connected in Luca's own internal workspace.</t>
  </si>
  <si>
    <t xml:space="preserve">U15</t>
  </si>
  <si>
    <t xml:space="preserve">Stripe connector</t>
  </si>
  <si>
    <t xml:space="preserve">/integrations/finance/stripe/</t>
  </si>
  <si>
    <t xml:space="preserve">Stripe appears in the Connect &amp; Setup screen. · Stripe is listed as a data connection in the product walkthrough.</t>
  </si>
  <si>
    <t xml:space="preserve">U17</t>
  </si>
  <si>
    <t xml:space="preserve">Xero connector</t>
  </si>
  <si>
    <t xml:space="preserve">/integrations/finance/xero/</t>
  </si>
  <si>
    <t xml:space="preserve">Xero appears as connected in the Connect &amp; Setup screen. · For a subscription client, accounting data was reconciled with Shopify and Recharge data into one database.</t>
  </si>
  <si>
    <t xml:space="preserve">QuickBooks connector</t>
  </si>
  <si>
    <t xml:space="preserve">/integrations/finance/quickbooks/</t>
  </si>
  <si>
    <t xml:space="preserve">Available, limited scope</t>
  </si>
  <si>
    <t xml:space="preserve">Stated by Luca's founder; QuickBooks does not appear in the product screenshot we hold. Confirm the connection during setup.</t>
  </si>
  <si>
    <t xml:space="preserve">Eric described the accounting connection as covering QuickBooks as well as Xero. · A live subscription client's stack was described as Shopify, Recharge, Meta and QuickBooks or Xero.</t>
  </si>
  <si>
    <t xml:space="preserve">Recharge subscription data</t>
  </si>
  <si>
    <t xml:space="preserve">/integrations/subscriptions/recharge/</t>
  </si>
  <si>
    <t xml:space="preserve">Connected and reconciled by Luca's team as part of a Numbers build, not a self-serve connector button.</t>
  </si>
  <si>
    <t xml:space="preserve">Recharge subscription data was connected and reconciled with Shopify and accounting data into one clean database for a live subscription client. · That client's pain, in their words relayed by Eric: Shopify does not talk to Recharge, and Recharge does not talk to the accounting platform.</t>
  </si>
  <si>
    <t xml:space="preserve">U94</t>
  </si>
  <si>
    <t xml:space="preserve">Luca's product includes an 'Add Luca to Slack' option with an integration guide. · The guide covers installing the Slack app, sending Luca a direct message and mentioning Luca in a channel.</t>
  </si>
  <si>
    <t xml:space="preserve">U192</t>
  </si>
  <si>
    <t xml:space="preserve">Answers delivered in Slack</t>
  </si>
  <si>
    <t xml:space="preserve">Users can work with Luca from Slack by direct message or by mentioning Luca in a channel.</t>
  </si>
  <si>
    <t xml:space="preserve">U27</t>
  </si>
  <si>
    <t xml:space="preserve">Upload documents and files as context</t>
  </si>
  <si>
    <t xml:space="preserve">/integrations/workspace/documents/</t>
  </si>
  <si>
    <t xml:space="preserve">Luca's product includes 'Upload company docs' and 'Manage Knowledge Base'. · Eric described adding context from documents such as PDFs or emails.</t>
  </si>
  <si>
    <t xml:space="preserve">Custom ERP and internal-system connections</t>
  </si>
  <si>
    <t xml:space="preserve">/integrations/custom/</t>
  </si>
  <si>
    <t xml:space="preserve">Built by Luca's team on request. Timing and scope are agreed per account.</t>
  </si>
  <si>
    <t xml:space="preserve">For systems without a standard connector, such as a custom ERP, Luca's team builds the API connection; Eric put the time at a couple of days. · The pricing page says custom connections are not a self-serve button yet and are arranged with the team.</t>
  </si>
  <si>
    <t xml:space="preserve">Custom connectors built by Luca's team, no integration fee</t>
  </si>
  <si>
    <t xml:space="preserve">Delivered by Luca's team; lead time is agreed per request.</t>
  </si>
  <si>
    <t xml:space="preserve">The website states that custom connectors are built at no integration fee. · Custom work is done by Luca's team, not self-serve.</t>
  </si>
  <si>
    <t xml:space="preserve">U31</t>
  </si>
  <si>
    <t xml:space="preserve">Connect a source in two clicks (OAuth)</t>
  </si>
  <si>
    <t xml:space="preserve">/products/features/data-connection/</t>
  </si>
  <si>
    <t xml:space="preserve">Standard sources connect through each platform's own sign-in and permission screen; the pricing page describes it as two clicks per source for most users. · New users connect a data source during signup.</t>
  </si>
  <si>
    <t xml:space="preserve">U84</t>
  </si>
  <si>
    <t xml:space="preserve">Ask questions in plain English across connected sources</t>
  </si>
  <si>
    <t xml:space="preserve">/products/luca-agent/</t>
  </si>
  <si>
    <t xml:space="preserve">Luca is used through a chat interface ('Luca Web Chat') over the user's connected data. · Organic users connect a data source and start chatting with Luca. · A September 2026 third-party round-up (Rivo) describes Luca as suited to cross-functional analysis across commerce, marketing, finance, inventory and cash flow.</t>
  </si>
  <si>
    <t xml:space="preserve">Answers that combine marketing, finance and commerce data</t>
  </si>
  <si>
    <t xml:space="preserve">Answers can only span the sources the account has connected and that Luca's team has reconciled.</t>
  </si>
  <si>
    <t xml:space="preserve">Luca's design is one main orchestrator with tools beneath it, reasoning across the business's sources rather than one tool at a time. · The problem Luca is positioned against, accepted by Eric: data is fragmented and there is no coherent reasoning layer across tools.</t>
  </si>
  <si>
    <t xml:space="preserve">U86</t>
  </si>
  <si>
    <t xml:space="preserve">Charts generated from a question</t>
  </si>
  <si>
    <t xml:space="preserve">Luca generates charts and graphs on the fly in answer to a question, rather than from a fixed set of dashboards.</t>
  </si>
  <si>
    <t xml:space="preserve">U87</t>
  </si>
  <si>
    <t xml:space="preserve">Follow-up questions in the same conversation</t>
  </si>
  <si>
    <t xml:space="preserve">Luca is used as an ongoing conversation; Eric reported users returning four to five times a day.</t>
  </si>
  <si>
    <t xml:space="preserve">U92</t>
  </si>
  <si>
    <t xml:space="preserve">Unlimited questions, no AI credits</t>
  </si>
  <si>
    <t xml:space="preserve">The pricing page lists unlimited usage on every plan, with no question or credit limit.</t>
  </si>
  <si>
    <t xml:space="preserve">U93</t>
  </si>
  <si>
    <t xml:space="preserve">Web app</t>
  </si>
  <si>
    <t xml:space="preserve">Luca runs as a web application at app.ask-luca.com.</t>
  </si>
  <si>
    <t xml:space="preserve">U119</t>
  </si>
  <si>
    <t xml:space="preserve">Recommended next steps</t>
  </si>
  <si>
    <t xml:space="preserve">Luca produces recommendations and step-by-step plans, not only numbers. · Luca is done-with-you: it does the analysis and proposes the strategy; the operator validates and executes.</t>
  </si>
  <si>
    <t xml:space="preserve">Marketing content drafting</t>
  </si>
  <si>
    <t xml:space="preserve">A secondary capability; output is a draft for the team to review.</t>
  </si>
  <si>
    <t xml:space="preserve">Content generation (posts, newsletters, images and brand assets) is listed in Luca's product walkthrough.</t>
  </si>
  <si>
    <t xml:space="preserve">U127</t>
  </si>
  <si>
    <t xml:space="preserve">Done-with-you analysis and strategy</t>
  </si>
  <si>
    <t xml:space="preserve">Luca is done-with-you, not done-for-you: Luca does the analysis and strategy and the operator validates and executes. · Luca's team works alongside clients during onboarding and data reconciliation.</t>
  </si>
  <si>
    <t xml:space="preserve">M1</t>
  </si>
  <si>
    <t xml:space="preserve">Tells you plainly when a request is outside what it does</t>
  </si>
  <si>
    <t xml:space="preserve">When asked to automate a change in Shopify or Meta, Luca replied that it could not, offered to explain how to do it, and said a human stays in the loop.</t>
  </si>
  <si>
    <t xml:space="preserve">U32</t>
  </si>
  <si>
    <t xml:space="preserve">One reconciled database across your sources</t>
  </si>
  <si>
    <t xml:space="preserve">/products/numbers/</t>
  </si>
  <si>
    <t xml:space="preserve">Numbers reconciles a client's Shopify, subscription and accounting data into one clean database and shows it as a unified view. · Eric: 'we're rolling this out for several clients now' and it 'becomes table stake… for every client.'</t>
  </si>
  <si>
    <t xml:space="preserve">U189</t>
  </si>
  <si>
    <t xml:space="preserve">Unified control-centre view</t>
  </si>
  <si>
    <t xml:space="preserve">Numbers is a control centre to run the business, shown above the chat. · Eric: the dashboard is the reconciled data — 'there's nothing AI into this' — and Luca sits on top of it.</t>
  </si>
  <si>
    <t xml:space="preserve">U50</t>
  </si>
  <si>
    <t xml:space="preserve">Net revenue</t>
  </si>
  <si>
    <t xml:space="preserve">Net revenue is part of the reconciled commerce view.</t>
  </si>
  <si>
    <t xml:space="preserve">U67</t>
  </si>
  <si>
    <t xml:space="preserve">Cohort analysis</t>
  </si>
  <si>
    <t xml:space="preserve">Cohort visibility was built for a live subscription client who previously had 'zero visibility on the cohorts'.</t>
  </si>
  <si>
    <t xml:space="preserve">Active vs lapsed customers</t>
  </si>
  <si>
    <t xml:space="preserve">Built for a subscription client's reconciled data; confirm for your data model.</t>
  </si>
  <si>
    <t xml:space="preserve">The same client could not tell active from inactive customers before Numbers; the reconciled view addressed it.</t>
  </si>
  <si>
    <t xml:space="preserve">Subscription skips, pauses and gaps</t>
  </si>
  <si>
    <t xml:space="preserve">Delivered through a reconciliation project by Luca's team.</t>
  </si>
  <si>
    <t xml:space="preserve">Luca rebuilt a client's historical subscription-skip data from several systems and found a previously unknown $72,000 revenue shortfall.</t>
  </si>
  <si>
    <t xml:space="preserve">Reconciled with accounting data</t>
  </si>
  <si>
    <t xml:space="preserve">A reconciliation project led by Luca's team, not an instant connector result.</t>
  </si>
  <si>
    <t xml:space="preserve">For the first Numbers client, reconciling Shopify, Recharge and accounting data took about three weeks of work by Luca's team.</t>
  </si>
  <si>
    <t xml:space="preserve">M2</t>
  </si>
  <si>
    <t xml:space="preserve">Data connections shown on Numbers</t>
  </si>
  <si>
    <t xml:space="preserve">Numbers shows Shopify, Amazon, Google Analytics and Stripe connections in the demonstrated build.</t>
  </si>
  <si>
    <t xml:space="preserve">U146</t>
  </si>
  <si>
    <t xml:space="preserve">Upload company documents to a knowledge base</t>
  </si>
  <si>
    <t xml:space="preserve">/products/knowledge-base/</t>
  </si>
  <si>
    <t xml:space="preserve">Users can upload company documents and manage a knowledge base in the product.</t>
  </si>
  <si>
    <t xml:space="preserve">Goals, constraints and cost rules as context</t>
  </si>
  <si>
    <t xml:space="preserve">Luca uses what the account uploads; confirm how each type of context is applied.</t>
  </si>
  <si>
    <t xml:space="preserve">The website lists goals, constraints, cost rules, lead times and seasonality as the context the knowledge base holds. · Context can come from documents such as PDFs or emails.</t>
  </si>
  <si>
    <t xml:space="preserve">M3</t>
  </si>
  <si>
    <t xml:space="preserve">Built-in knowledge of its own capabilities</t>
  </si>
  <si>
    <t xml:space="preserve">Luca's own internal knowledge base, written by its team as skills, makes Luca aware of what it can and cannot do.</t>
  </si>
  <si>
    <t xml:space="preserve">U178</t>
  </si>
  <si>
    <t xml:space="preserve">Capital is optional</t>
  </si>
  <si>
    <t xml:space="preserve">/products/capital/</t>
  </si>
  <si>
    <t xml:space="preserve">Capital is a feature that Luca's intelligence can unlock, not a parallel product and not a requirement for using Luca. · Eric deliberately does not lead with capital, to avoid attracting funding seekers instead of operators.</t>
  </si>
  <si>
    <t xml:space="preserve">U179</t>
  </si>
  <si>
    <t xml:space="preserve">Luca is not a lender</t>
  </si>
  <si>
    <t xml:space="preserve">Eric's canonical statement: 'We are not a financing company. We are an Agentic AI company for e-commerce.' · The website states that any capital is provided through lending partners.</t>
  </si>
  <si>
    <t xml:space="preserve">U137</t>
  </si>
  <si>
    <t xml:space="preserve">Nothing changes without your approval</t>
  </si>
  <si>
    <t xml:space="preserve">/products/features/control-and-safety/</t>
  </si>
  <si>
    <t xml:space="preserve">Nothing changes in a connected system without the user: Luca suggests, and a human stays in the loop. · The website states that every action needs approval by default.</t>
  </si>
  <si>
    <t xml:space="preserve">U144</t>
  </si>
  <si>
    <t xml:space="preserve">Read-only by design</t>
  </si>
  <si>
    <t xml:space="preserve">Luca is agent-readable, not agent-writable: it reads connected data, gets context and reasons. Eric will not make it write to live systems without strong guardrails and audit trails. · The privacy policy states Luca's Google access is read-only.</t>
  </si>
  <si>
    <t xml:space="preserve">U196</t>
  </si>
  <si>
    <t xml:space="preserve">Seats per plan</t>
  </si>
  <si>
    <t xml:space="preserve">/products/features/teams-and-seats/</t>
  </si>
  <si>
    <t xml:space="preserve">Plans are sold by seat: one seat, three seats, or unlimited seats.</t>
  </si>
  <si>
    <t xml:space="preserve">U197</t>
  </si>
  <si>
    <t xml:space="preserve">Unlimited-seat option</t>
  </si>
  <si>
    <t xml:space="preserve">The largest plan includes unlimited seats with full and standard access levels.</t>
  </si>
  <si>
    <t xml:space="preserve">U187</t>
  </si>
  <si>
    <t xml:space="preserve">Serves brands across the UK, EU, US and Australia</t>
  </si>
  <si>
    <t xml:space="preserve">Pricing is published in GBP, USD, EUR and AUD. · Luca operates from London and Luxembourg and serves brands in Europe, the UK, the US and Australia.</t>
  </si>
  <si>
    <t xml:space="preserve">U213</t>
  </si>
  <si>
    <t xml:space="preserve">Customer data kept separate</t>
  </si>
  <si>
    <t xml:space="preserve">/security/data-handling/</t>
  </si>
  <si>
    <t xml:space="preserve">Each customer's data sits in a separate BigQuery dataset on Google Cloud Platform; credentials are kept in Google Secret Manager.</t>
  </si>
  <si>
    <t xml:space="preserve">U214</t>
  </si>
  <si>
    <t xml:space="preserve">Your data is not used to train AI models</t>
  </si>
  <si>
    <t xml:space="preserve">The language model provider (OpenAI) processes data under enterprise terms that exclude training on it. · The website states that Luca does not train third-party foundation models on customers' financials.</t>
  </si>
  <si>
    <t xml:space="preserve">U216</t>
  </si>
  <si>
    <t xml:space="preserve">Sub-processors disclosed</t>
  </si>
  <si>
    <t xml:space="preserve">The privacy policy names OpenAI and Google Cloud Platform as sub-processors.</t>
  </si>
  <si>
    <t xml:space="preserve">U218</t>
  </si>
  <si>
    <t xml:space="preserve">Deletion and retention after you disconnect</t>
  </si>
  <si>
    <t xml:space="preserve">/security/access-and-scopes/</t>
  </si>
  <si>
    <t xml:space="preserve">Google data is deleted within 30 days of disconnecting. · The privacy policy states how long other data is retained after an account closes.</t>
  </si>
  <si>
    <t xml:space="preserve">Read-only access scopes</t>
  </si>
  <si>
    <t xml:space="preserve">Published for Google connections; scopes for other connectors are shown on each platform's own permission screen.</t>
  </si>
  <si>
    <t xml:space="preserve">The privacy policy names the read-only Search Console scope (webmasters.readonly) and states Google access is read-only.</t>
  </si>
  <si>
    <t xml:space="preserve">M4</t>
  </si>
  <si>
    <t xml:space="preserve">Hosted on Google Cloud Platform</t>
  </si>
  <si>
    <t xml:space="preserve">Infrastructure runs on Google Cloud Platform.</t>
  </si>
  <si>
    <t xml:space="preserve">CO1</t>
  </si>
  <si>
    <t xml:space="preserve">Published pricing</t>
  </si>
  <si>
    <t xml:space="preserve">/pricing/</t>
  </si>
  <si>
    <t xml:space="preserve">Plans and prices are published on ask-luca.com/pricing without a sales call.</t>
  </si>
  <si>
    <t xml:space="preserve">CO4</t>
  </si>
  <si>
    <t xml:space="preserve">Priced by seat</t>
  </si>
  <si>
    <t xml:space="preserve">Luca prices by seat, not by store revenue, orders or ad spend.</t>
  </si>
  <si>
    <t xml:space="preserve">CO5</t>
  </si>
  <si>
    <t xml:space="preserve">Price does not rise with your revenue</t>
  </si>
  <si>
    <t xml:space="preserve">Because pricing is per seat, the plan price does not rise as the brand's revenue or order volume grows.</t>
  </si>
  <si>
    <t xml:space="preserve">CO6</t>
  </si>
  <si>
    <t xml:space="preserve">Unlimited usage on every plan</t>
  </si>
  <si>
    <t xml:space="preserve">Every plan lists unlimited usage.</t>
  </si>
  <si>
    <t xml:space="preserve">CO15</t>
  </si>
  <si>
    <t xml:space="preserve">No integration fees</t>
  </si>
  <si>
    <t xml:space="preserve">The website states custom connectors carry no integration fee.</t>
  </si>
  <si>
    <t xml:space="preserve">CO17</t>
  </si>
  <si>
    <t xml:space="preserve">Compared with hiring an analyst</t>
  </si>
  <si>
    <t xml:space="preserve">Luca is positioned as doing the work of an analyst and advisor for a growing brand that cannot yet hire one.</t>
  </si>
  <si>
    <t xml:space="preserve">CO11</t>
  </si>
  <si>
    <t xml:space="preserve">Annual billing discount</t>
  </si>
  <si>
    <t xml:space="preserve">Annual billing is offered at a discount to monthly.</t>
  </si>
  <si>
    <t xml:space="preserve">CO9</t>
  </si>
  <si>
    <t xml:space="preserve">Card and data connection at signup</t>
  </si>
  <si>
    <t xml:space="preserve">/pricing/trial-and-signup/</t>
  </si>
  <si>
    <t xml:space="preserve">Signup asks for a data connection and card details up front.</t>
  </si>
  <si>
    <t xml:space="preserve">CO16</t>
  </si>
  <si>
    <t xml:space="preserve">Mastercard Business Bonus partner pricing</t>
  </si>
  <si>
    <t xml:space="preserve">/solutions/mastercard-business-bonus/</t>
  </si>
  <si>
    <t xml:space="preserve">Luca has a dedicated pricing page for Mastercard Business Bonus. · Luca is listed on Mastercard's Business Bonus page.</t>
  </si>
  <si>
    <t xml:space="preserve">M5</t>
  </si>
  <si>
    <t xml:space="preserve">Organisation setup during signup</t>
  </si>
  <si>
    <t xml:space="preserve">Signup includes creating an organisation before connecting data.</t>
  </si>
  <si>
    <t xml:space="preserve">S3</t>
  </si>
  <si>
    <t xml:space="preserve">Hands-on onboarding with Luca's team</t>
  </si>
  <si>
    <t xml:space="preserve">/support/onboarding/</t>
  </si>
  <si>
    <t xml:space="preserve">Onboarding is hands-on: Luca's team does significant onboarding work for each client; Eric called it 'incredibly labour intensive on our side'. · Onboarding capacity is managed by intake; October 2026 intake filled after 17–18 outbound signings in September.</t>
  </si>
  <si>
    <t xml:space="preserve">S4</t>
  </si>
  <si>
    <t xml:space="preserve">Data mapping done by Luca's team</t>
  </si>
  <si>
    <t xml:space="preserve">Luca's team handles custom connectors and integration mapping. · The team reconciles a client's systems into Numbers.</t>
  </si>
  <si>
    <t xml:space="preserve">S10</t>
  </si>
  <si>
    <t xml:space="preserve">Luca community</t>
  </si>
  <si>
    <t xml:space="preserve">/support/community/</t>
  </si>
  <si>
    <t xml:space="preserve">Luca runs a community for clients and prospects on Heartbeat (community.ask-luca.com, plus iOS and Android apps) to exchange prompts, workflows and use cases.</t>
  </si>
  <si>
    <t xml:space="preserve">T18</t>
  </si>
  <si>
    <t xml:space="preserve">E-Commerce Leaders Series podcast</t>
  </si>
  <si>
    <t xml:space="preserve">Eric hosts the E-Commerce Leaders Series podcast with e-commerce operators.</t>
  </si>
  <si>
    <t xml:space="preserve">T14</t>
  </si>
  <si>
    <t xml:space="preserve">Founder background</t>
  </si>
  <si>
    <t xml:space="preserve">/about/</t>
  </si>
  <si>
    <t xml:space="preserve">Eric Bidinger, co-founder and CEO: aerospace engineer with 17 years in private equity.</t>
  </si>
  <si>
    <t xml:space="preserve">R9</t>
  </si>
  <si>
    <t xml:space="preserve">Team</t>
  </si>
  <si>
    <t xml:space="preserve">The about page names the team: Eric Bidinger (CEO), Abbas Khaku (COO), Ciske Smit (Head of Product), Kaan Simsek (Head of Data), and engineers Hassaan Mirza and Usman Jameel.</t>
  </si>
  <si>
    <t xml:space="preserve">R5</t>
  </si>
  <si>
    <t xml:space="preserve">AI model provider disclosed</t>
  </si>
  <si>
    <t xml:space="preserve">OpenAI is named as the language-model sub-processor.</t>
  </si>
  <si>
    <t xml:space="preserve">R6</t>
  </si>
  <si>
    <t xml:space="preserve">Product velocity</t>
  </si>
  <si>
    <t xml:space="preserve">Numbers moved from a first client build to every client between September and October 2026.</t>
  </si>
  <si>
    <t xml:space="preserve">T8</t>
  </si>
  <si>
    <t xml:space="preserve">Customer logos</t>
  </si>
  <si>
    <t xml:space="preserve">/customers/</t>
  </si>
  <si>
    <t xml:space="preserve">Customer logos shown on ask-luca.com: Untamed, Circus, Prim, Twigs, Nidra, David Gandy Wellwear, Fabulous and Ayodi.</t>
  </si>
  <si>
    <t xml:space="preserve">T9</t>
  </si>
  <si>
    <t xml:space="preserve">Named testimonials</t>
  </si>
  <si>
    <t xml:space="preserve">Named testimonials with photographs are published on ask-luca.com from leaders at Ayodi, Untamed and Nidra.</t>
  </si>
  <si>
    <t xml:space="preserve">FD1</t>
  </si>
  <si>
    <t xml:space="preserve">/solutions/founders/</t>
  </si>
  <si>
    <t xml:space="preserve">Numbers gives one reconciled view of the business.</t>
  </si>
  <si>
    <t xml:space="preserve">FD2</t>
  </si>
  <si>
    <t xml:space="preserve">Questions are asked in plain English over connected data, with charts generated on the fly.</t>
  </si>
  <si>
    <t xml:space="preserve">FD10</t>
  </si>
  <si>
    <t xml:space="preserve">Luca is positioned as the analyst a growing brand cannot yet hire.</t>
  </si>
  <si>
    <t xml:space="preserve">FD11</t>
  </si>
  <si>
    <t xml:space="preserve">A human stays in the loop; Luca does not change connected systems on its own.</t>
  </si>
  <si>
    <t xml:space="preserve">FD17</t>
  </si>
  <si>
    <t xml:space="preserve">Customer data is not used to train AI models.</t>
  </si>
  <si>
    <t xml:space="preserve">FD18</t>
  </si>
  <si>
    <t xml:space="preserve">New users connect their own data during signup and work on it from the first session.</t>
  </si>
  <si>
    <t xml:space="preserve">FD20</t>
  </si>
  <si>
    <t xml:space="preserve">Luca reasons over Shopify together with ads, analytics, payments and accounting data; the website contrasts this with Shopify Sidekick, which works inside Shopify.</t>
  </si>
  <si>
    <t xml:space="preserve">FD21</t>
  </si>
  <si>
    <t xml:space="preserve">Connected sources stay connected and context is held in a knowledge base, instead of exporting files to a general chatbot each time.</t>
  </si>
  <si>
    <t xml:space="preserve">FD29</t>
  </si>
  <si>
    <t xml:space="preserve">Luca is used as a conversation with an analyst, not a dashboard.</t>
  </si>
  <si>
    <t xml:space="preserve">FD30</t>
  </si>
  <si>
    <t xml:space="preserve">Luca's team onboards each client directly.</t>
  </si>
  <si>
    <t xml:space="preserve">SU2</t>
  </si>
  <si>
    <t xml:space="preserve">/solutions/subscription-brands/</t>
  </si>
  <si>
    <t xml:space="preserve">For a subscription client, Shopify, Recharge and accounting data were reconciled into one view.</t>
  </si>
  <si>
    <t xml:space="preserve">SU3</t>
  </si>
  <si>
    <t xml:space="preserve">Active versus inactive subscribers became visible after reconciliation.</t>
  </si>
  <si>
    <t xml:space="preserve">SU4</t>
  </si>
  <si>
    <t xml:space="preserve">Rebuilt subscription-skip history revealed a $72,000 revenue shortfall for one client.</t>
  </si>
  <si>
    <t xml:space="preserve">SU6</t>
  </si>
  <si>
    <t xml:space="preserve">Cohort visibility was the stated gap Numbers closed.</t>
  </si>
  <si>
    <t xml:space="preserve">Set up by Luca's team.</t>
  </si>
  <si>
    <t xml:space="preserve">Recharge data was connected for a live client.</t>
  </si>
  <si>
    <t xml:space="preserve">CF18</t>
  </si>
  <si>
    <t xml:space="preserve">/solutions/finance-leads/</t>
  </si>
  <si>
    <t xml:space="preserve">Luca does not move money or change systems; a human stays in the loop.</t>
  </si>
  <si>
    <t xml:space="preserve">CF22</t>
  </si>
  <si>
    <t xml:space="preserve">Luca reads accounting data alongside commerce data; the accounting system remains the ledger.</t>
  </si>
  <si>
    <t xml:space="preserve">CF25</t>
  </si>
  <si>
    <t xml:space="preserve">Retention and deletion terms are set out in the privacy policy, including 30-day deletion of Google data after disconnecting.</t>
  </si>
  <si>
    <t xml:space="preserve">A reconciliation project, confirmed per account.</t>
  </si>
  <si>
    <t xml:space="preserve">For the first Numbers client, accounting, Shopify and Recharge data were reconciled by Luca's team over about three weeks.</t>
  </si>
  <si>
    <t xml:space="preserve">Xero confirmed; QuickBooks to confirm during setup.</t>
  </si>
  <si>
    <t xml:space="preserve">Xero is connected in the product; QuickBooks is stated by the founder.</t>
  </si>
  <si>
    <t xml:space="preserve">GR21</t>
  </si>
  <si>
    <t xml:space="preserve">/solutions/growth-teams/</t>
  </si>
  <si>
    <t xml:space="preserve">Teams can use Luca from Slack by direct message or channel mention.</t>
  </si>
  <si>
    <t xml:space="preserve">GR23</t>
  </si>
  <si>
    <t xml:space="preserve">Google Analytics and Search Console connect alongside ad platforms.</t>
  </si>
  <si>
    <t xml:space="preserve">/solutions/shopify-and-amazon-sellers/</t>
  </si>
  <si>
    <t xml:space="preserve">Both sources connect; how they are combined in reporting is confirmed per account.</t>
  </si>
  <si>
    <t xml:space="preserve">Shopify and Amazon both connect as commerce sources.</t>
  </si>
  <si>
    <t xml:space="preserve">EU4</t>
  </si>
  <si>
    <t xml:space="preserve">/solutions/european-brands/</t>
  </si>
  <si>
    <t xml:space="preserve">Pricing is published in EUR and GBP as well as USD and AUD.</t>
  </si>
  <si>
    <t xml:space="preserve">EU12</t>
  </si>
  <si>
    <t xml:space="preserve">A Mastercard Business Bonus pricing page exists, and Luca is listed on Mastercard's Business Bonus page.</t>
  </si>
  <si>
    <t xml:space="preserve">Xero confirmed; other European accounting and banking sources to confirm.</t>
  </si>
  <si>
    <t xml:space="preserve">Xero is connected in the product.</t>
  </si>
  <si>
    <t xml:space="preserve">MB1</t>
  </si>
  <si>
    <t xml:space="preserve">A dedicated Mastercard Business Bonus pricing page exists on ask-luca.com.</t>
  </si>
  <si>
    <t xml:space="preserve">MB2</t>
  </si>
  <si>
    <t xml:space="preserve">The partner page offers a discount on every plan, monthly and annual.</t>
  </si>
  <si>
    <t xml:space="preserve">MB4</t>
  </si>
  <si>
    <t xml:space="preserve">Luca is listed on Mastercard's Business Bonus page beside large consumer brands.</t>
  </si>
  <si>
    <t xml:space="preserve">MB6</t>
  </si>
  <si>
    <t xml:space="preserve">The partner discount applies to the same plans as standard pricing.</t>
  </si>
  <si>
    <t xml:space="preserve">SC8</t>
  </si>
  <si>
    <t xml:space="preserve">Unlimited seats are available on the largest plan.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</si>
</sst>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i val="true"/>
      <sz val="10"/>
      <color rgb="FF667085"/>
      <name val="Arial"/>
      <family val="0"/>
      <charset val="1"/>
    </font>
    <font>
      <b val="true"/>
      <sz val="10"/>
      <color rgb="FFFFFFFF"/>
      <name val="Arial"/>
      <family val="0"/>
      <charset val="1"/>
    </font>
    <font>
      <i val="true"/>
      <sz val="10"/>
      <color rgb="FF475467"/>
      <name val="Arial"/>
      <family val="0"/>
      <charset val="1"/>
    </font>
  </fonts>
  <fills count="5">
    <fill>
      <patternFill patternType="none"/>
    </fill>
    <fill>
      <patternFill patternType="gray125"/>
    </fill>
    <fill>
      <patternFill patternType="solid">
        <fgColor rgb="FF01819A"/>
        <bgColor rgb="FF008080"/>
      </patternFill>
    </fill>
    <fill>
      <patternFill patternType="solid">
        <fgColor rgb="FFEEF6F8"/>
        <bgColor rgb="FFFFFFFF"/>
      </patternFill>
    </fill>
    <fill>
      <patternFill patternType="solid">
        <fgColor rgb="FFFFF7CC"/>
        <bgColor rgb="FFEEF6F8"/>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1819A"/>
          <bgColor rgb="FF000000"/>
        </patternFill>
      </fill>
    </dxf>
    <dxf>
      <fill>
        <patternFill patternType="solid">
          <fgColor rgb="FFEEF6F8"/>
          <bgColor rgb="FF000000"/>
        </patternFill>
      </fill>
    </dxf>
    <dxf>
      <fill>
        <patternFill patternType="solid">
          <bgColor rgb="FF000000"/>
        </patternFill>
      </fill>
    </dxf>
    <dxf>
      <fill>
        <patternFill patternType="solid">
          <fgColor rgb="FF475467"/>
          <bgColor rgb="FF000000"/>
        </patternFill>
      </fill>
    </dxf>
    <dxf>
      <fill>
        <patternFill patternType="solid">
          <fgColor rgb="FFFFFFFF"/>
          <bgColor rgb="FF000000"/>
        </patternFill>
      </fill>
    </dxf>
    <dxf>
      <fill>
        <patternFill patternType="solid">
          <fgColor rgb="FFFFF7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819A"/>
      <rgbColor rgb="FFC0C0C0"/>
      <rgbColor rgb="FF808080"/>
      <rgbColor rgb="FF9999FF"/>
      <rgbColor rgb="FF993366"/>
      <rgbColor rgb="FFFFF7CC"/>
      <rgbColor rgb="FFEEF6F8"/>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7085"/>
      <rgbColor rgb="FF969696"/>
      <rgbColor rgb="FF003366"/>
      <rgbColor rgb="FF339966"/>
      <rgbColor rgb="FF003300"/>
      <rgbColor rgb="FF333300"/>
      <rgbColor rgb="FF993300"/>
      <rgbColor rgb="FF993366"/>
      <rgbColor rgb="FF47546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2"/>
    <col collapsed="false" customWidth="true" hidden="false" outlineLevel="0" max="2" min="2" style="0" width="14"/>
  </cols>
  <sheetData>
    <row r="1" customFormat="false" ht="32.8"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46.2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23.85" hidden="false" customHeight="false" outlineLevel="0" collapsed="false">
      <c r="A8" s="2" t="s">
        <v>5</v>
      </c>
    </row>
    <row r="9" customFormat="false" ht="23.85" hidden="false" customHeight="false" outlineLevel="0" collapsed="false">
      <c r="A9" s="2" t="s">
        <v>6</v>
      </c>
    </row>
    <row r="10" customFormat="false" ht="23.85" hidden="false" customHeight="false" outlineLevel="0" collapsed="false">
      <c r="A10" s="2" t="s">
        <v>7</v>
      </c>
    </row>
    <row r="11" customFormat="false" ht="23.85" hidden="false" customHeight="false" outlineLevel="0" collapsed="false">
      <c r="A11" s="2" t="s">
        <v>8</v>
      </c>
    </row>
    <row r="12" customFormat="false" ht="23.8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15" hidden="false" customHeight="false" outlineLevel="0" collapsed="false">
      <c r="A15" s="4" t="s">
        <v>11</v>
      </c>
      <c r="B15" s="5" t="str">
        <f aca="false">COUNTA('1 · Website contradictions'!E3:E21)&amp;" of 19"</f>
        <v>0 of 19</v>
      </c>
    </row>
    <row r="16" customFormat="false" ht="15" hidden="false" customHeight="false" outlineLevel="0" collapsed="false">
      <c r="A16" s="4" t="s">
        <v>12</v>
      </c>
      <c r="B16" s="5" t="str">
        <f aca="false">COUNTA('2 · Product questions'!C3:C25)&amp;" of 23"</f>
        <v>0 of 23</v>
      </c>
    </row>
    <row r="17" customFormat="false" ht="15" hidden="false" customHeight="false" outlineLevel="0" collapsed="false">
      <c r="A17" s="4" t="s">
        <v>13</v>
      </c>
      <c r="B17" s="5" t="str">
        <f aca="false">COUNTA('3 · Parameters to confirm'!I3:I381)&amp;" of 379"</f>
        <v>0 of 379</v>
      </c>
    </row>
    <row r="18" customFormat="false" ht="15" hidden="false" customHeight="false" outlineLevel="0" collapsed="false">
      <c r="A18" s="4" t="s">
        <v>14</v>
      </c>
      <c r="B18" s="5" t="str">
        <f aca="false">COUNTA('4 · Documented in v1'!G3:G103)&amp;" of 101"</f>
        <v>0 of 101</v>
      </c>
    </row>
    <row r="20" customFormat="false" ht="15" hidden="false" customHeight="false" outlineLevel="0" collapsed="false">
      <c r="A20" s="6" t="s">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70"/>
    <col collapsed="false" customWidth="true" hidden="false" outlineLevel="0" max="4" min="4" style="0" width="26"/>
    <col collapsed="false" customWidth="true" hidden="false" outlineLevel="0" max="5" min="5" style="0" width="48"/>
    <col collapsed="false" customWidth="true" hidden="false" outlineLevel="0" max="6" min="6" style="0" width="16"/>
    <col collapsed="false" customWidth="true" hidden="false" outlineLevel="0" max="7" min="7" style="0" width="30"/>
  </cols>
  <sheetData>
    <row r="1" customFormat="false" ht="15" hidden="false" customHeight="false" outlineLevel="0" collapsed="false">
      <c r="A1" s="7" t="s">
        <v>16</v>
      </c>
      <c r="B1" s="7" t="s">
        <v>17</v>
      </c>
      <c r="C1" s="7" t="s">
        <v>18</v>
      </c>
      <c r="D1" s="7" t="s">
        <v>19</v>
      </c>
      <c r="E1" s="7" t="s">
        <v>20</v>
      </c>
      <c r="F1" s="7" t="s">
        <v>21</v>
      </c>
      <c r="G1" s="7" t="s">
        <v>22</v>
      </c>
    </row>
    <row r="2" customFormat="false" ht="15" hidden="false" customHeight="false" outlineLevel="0" collapsed="false">
      <c r="A2" s="8" t="s">
        <v>23</v>
      </c>
      <c r="B2" s="8" t="s">
        <v>24</v>
      </c>
      <c r="C2" s="8" t="s">
        <v>25</v>
      </c>
      <c r="D2" s="8" t="s">
        <v>26</v>
      </c>
      <c r="E2" s="8" t="s">
        <v>27</v>
      </c>
      <c r="F2" s="8" t="s">
        <v>28</v>
      </c>
      <c r="G2" s="8" t="s">
        <v>29</v>
      </c>
    </row>
    <row r="3" customFormat="false" ht="57.45" hidden="false" customHeight="false" outlineLevel="0" collapsed="false">
      <c r="A3" s="9" t="n">
        <v>1</v>
      </c>
      <c r="B3" s="9" t="s">
        <v>30</v>
      </c>
      <c r="C3" s="9" t="s">
        <v>31</v>
      </c>
      <c r="D3" s="9" t="s">
        <v>32</v>
      </c>
      <c r="E3" s="10"/>
      <c r="F3" s="10"/>
      <c r="G3" s="10"/>
    </row>
    <row r="4" customFormat="false" ht="23.85" hidden="false" customHeight="false" outlineLevel="0" collapsed="false">
      <c r="A4" s="9" t="n">
        <v>2</v>
      </c>
      <c r="B4" s="9" t="s">
        <v>33</v>
      </c>
      <c r="C4" s="9" t="s">
        <v>34</v>
      </c>
      <c r="D4" s="9" t="s">
        <v>35</v>
      </c>
      <c r="E4" s="10"/>
      <c r="F4" s="10"/>
      <c r="G4" s="10"/>
    </row>
    <row r="5" customFormat="false" ht="35.05" hidden="false" customHeight="false" outlineLevel="0" collapsed="false">
      <c r="A5" s="9" t="n">
        <v>3</v>
      </c>
      <c r="B5" s="9" t="s">
        <v>36</v>
      </c>
      <c r="C5" s="9" t="s">
        <v>37</v>
      </c>
      <c r="D5" s="9" t="s">
        <v>38</v>
      </c>
      <c r="E5" s="10"/>
      <c r="F5" s="10"/>
      <c r="G5" s="10"/>
    </row>
    <row r="6" customFormat="false" ht="35.05" hidden="false" customHeight="false" outlineLevel="0" collapsed="false">
      <c r="A6" s="9" t="n">
        <v>4</v>
      </c>
      <c r="B6" s="9" t="s">
        <v>39</v>
      </c>
      <c r="C6" s="9" t="s">
        <v>40</v>
      </c>
      <c r="D6" s="9" t="s">
        <v>41</v>
      </c>
      <c r="E6" s="10"/>
      <c r="F6" s="10"/>
      <c r="G6" s="10"/>
    </row>
    <row r="7" customFormat="false" ht="23.85" hidden="false" customHeight="false" outlineLevel="0" collapsed="false">
      <c r="A7" s="9" t="n">
        <v>5</v>
      </c>
      <c r="B7" s="9" t="s">
        <v>42</v>
      </c>
      <c r="C7" s="9" t="s">
        <v>43</v>
      </c>
      <c r="D7" s="9" t="s">
        <v>44</v>
      </c>
      <c r="E7" s="10"/>
      <c r="F7" s="10"/>
      <c r="G7" s="10"/>
    </row>
    <row r="8" customFormat="false" ht="35.05" hidden="false" customHeight="false" outlineLevel="0" collapsed="false">
      <c r="A8" s="9" t="n">
        <v>6</v>
      </c>
      <c r="B8" s="9" t="s">
        <v>45</v>
      </c>
      <c r="C8" s="9" t="s">
        <v>46</v>
      </c>
      <c r="D8" s="9" t="s">
        <v>44</v>
      </c>
      <c r="E8" s="10"/>
      <c r="F8" s="10"/>
      <c r="G8" s="10"/>
    </row>
    <row r="9" customFormat="false" ht="15" hidden="false" customHeight="false" outlineLevel="0" collapsed="false">
      <c r="A9" s="9" t="n">
        <v>7</v>
      </c>
      <c r="B9" s="9" t="s">
        <v>24</v>
      </c>
      <c r="C9" s="9" t="s">
        <v>47</v>
      </c>
      <c r="D9" s="9" t="s">
        <v>48</v>
      </c>
      <c r="E9" s="10"/>
      <c r="F9" s="10"/>
      <c r="G9" s="10"/>
    </row>
    <row r="10" customFormat="false" ht="35.05" hidden="false" customHeight="false" outlineLevel="0" collapsed="false">
      <c r="A10" s="9" t="n">
        <v>8</v>
      </c>
      <c r="B10" s="9" t="s">
        <v>49</v>
      </c>
      <c r="C10" s="9" t="s">
        <v>50</v>
      </c>
      <c r="D10" s="9" t="s">
        <v>51</v>
      </c>
      <c r="E10" s="10"/>
      <c r="F10" s="10"/>
      <c r="G10" s="10"/>
    </row>
    <row r="11" customFormat="false" ht="23.85" hidden="false" customHeight="false" outlineLevel="0" collapsed="false">
      <c r="A11" s="9" t="n">
        <v>9</v>
      </c>
      <c r="B11" s="9" t="s">
        <v>52</v>
      </c>
      <c r="C11" s="9" t="s">
        <v>53</v>
      </c>
      <c r="D11" s="9" t="s">
        <v>54</v>
      </c>
      <c r="E11" s="10"/>
      <c r="F11" s="10"/>
      <c r="G11" s="10"/>
    </row>
    <row r="12" customFormat="false" ht="35.05" hidden="false" customHeight="false" outlineLevel="0" collapsed="false">
      <c r="A12" s="9" t="n">
        <v>10</v>
      </c>
      <c r="B12" s="9" t="s">
        <v>55</v>
      </c>
      <c r="C12" s="9" t="s">
        <v>56</v>
      </c>
      <c r="D12" s="9" t="s">
        <v>57</v>
      </c>
      <c r="E12" s="10"/>
      <c r="F12" s="10"/>
      <c r="G12" s="10"/>
    </row>
    <row r="13" customFormat="false" ht="23.85" hidden="false" customHeight="false" outlineLevel="0" collapsed="false">
      <c r="A13" s="9" t="n">
        <v>11</v>
      </c>
      <c r="B13" s="9" t="s">
        <v>58</v>
      </c>
      <c r="C13" s="9" t="s">
        <v>59</v>
      </c>
      <c r="D13" s="9" t="s">
        <v>60</v>
      </c>
      <c r="E13" s="10"/>
      <c r="F13" s="10"/>
      <c r="G13" s="10"/>
    </row>
    <row r="14" customFormat="false" ht="23.85" hidden="false" customHeight="false" outlineLevel="0" collapsed="false">
      <c r="A14" s="9" t="n">
        <v>12</v>
      </c>
      <c r="B14" s="9" t="s">
        <v>61</v>
      </c>
      <c r="C14" s="9" t="s">
        <v>62</v>
      </c>
      <c r="D14" s="9" t="s">
        <v>63</v>
      </c>
      <c r="E14" s="10"/>
      <c r="F14" s="10"/>
      <c r="G14" s="10"/>
    </row>
    <row r="15" customFormat="false" ht="23.85" hidden="false" customHeight="false" outlineLevel="0" collapsed="false">
      <c r="A15" s="9" t="n">
        <v>13</v>
      </c>
      <c r="B15" s="9" t="s">
        <v>64</v>
      </c>
      <c r="C15" s="9" t="s">
        <v>65</v>
      </c>
      <c r="D15" s="9" t="s">
        <v>66</v>
      </c>
      <c r="E15" s="10"/>
      <c r="F15" s="10"/>
      <c r="G15" s="10"/>
    </row>
    <row r="16" customFormat="false" ht="23.85" hidden="false" customHeight="false" outlineLevel="0" collapsed="false">
      <c r="A16" s="9" t="n">
        <v>14</v>
      </c>
      <c r="B16" s="9" t="s">
        <v>67</v>
      </c>
      <c r="C16" s="9" t="s">
        <v>68</v>
      </c>
      <c r="D16" s="9" t="s">
        <v>66</v>
      </c>
      <c r="E16" s="10"/>
      <c r="F16" s="10"/>
      <c r="G16" s="10"/>
    </row>
    <row r="17" customFormat="false" ht="23.85" hidden="false" customHeight="false" outlineLevel="0" collapsed="false">
      <c r="A17" s="9" t="n">
        <v>15</v>
      </c>
      <c r="B17" s="9" t="s">
        <v>69</v>
      </c>
      <c r="C17" s="9" t="s">
        <v>70</v>
      </c>
      <c r="D17" s="9" t="s">
        <v>71</v>
      </c>
      <c r="E17" s="10"/>
      <c r="F17" s="10"/>
      <c r="G17" s="10"/>
    </row>
    <row r="18" customFormat="false" ht="15" hidden="false" customHeight="false" outlineLevel="0" collapsed="false">
      <c r="A18" s="9" t="n">
        <v>16</v>
      </c>
      <c r="B18" s="9" t="s">
        <v>72</v>
      </c>
      <c r="C18" s="9" t="s">
        <v>73</v>
      </c>
      <c r="D18" s="9" t="s">
        <v>74</v>
      </c>
      <c r="E18" s="10"/>
      <c r="F18" s="10"/>
      <c r="G18" s="10"/>
    </row>
    <row r="19" customFormat="false" ht="23.85" hidden="false" customHeight="false" outlineLevel="0" collapsed="false">
      <c r="A19" s="9" t="n">
        <v>17</v>
      </c>
      <c r="B19" s="9" t="s">
        <v>75</v>
      </c>
      <c r="C19" s="9" t="s">
        <v>76</v>
      </c>
      <c r="D19" s="9" t="s">
        <v>77</v>
      </c>
      <c r="E19" s="10"/>
      <c r="F19" s="10"/>
      <c r="G19" s="10"/>
    </row>
    <row r="20" customFormat="false" ht="15" hidden="false" customHeight="false" outlineLevel="0" collapsed="false">
      <c r="A20" s="9" t="n">
        <v>18</v>
      </c>
      <c r="B20" s="9" t="s">
        <v>78</v>
      </c>
      <c r="C20" s="9" t="s">
        <v>79</v>
      </c>
      <c r="D20" s="9" t="s">
        <v>63</v>
      </c>
      <c r="E20" s="10"/>
      <c r="F20" s="10"/>
      <c r="G20" s="10"/>
    </row>
    <row r="21" customFormat="false" ht="23.85" hidden="false" customHeight="false" outlineLevel="0" collapsed="false">
      <c r="A21" s="9" t="n">
        <v>19</v>
      </c>
      <c r="B21" s="9" t="s">
        <v>80</v>
      </c>
      <c r="C21" s="9" t="s">
        <v>81</v>
      </c>
      <c r="D21" s="9" t="s">
        <v>82</v>
      </c>
      <c r="E21" s="10"/>
      <c r="F21" s="10"/>
      <c r="G21" s="10"/>
    </row>
  </sheetData>
  <autoFilter ref="A1:G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80"/>
    <col collapsed="false" customWidth="true" hidden="false" outlineLevel="0" max="3" min="3" style="0" width="60"/>
    <col collapsed="false" customWidth="true" hidden="false" outlineLevel="0" max="4" min="4" style="0" width="16"/>
    <col collapsed="false" customWidth="true" hidden="false" outlineLevel="0" max="5" min="5" style="0" width="30"/>
  </cols>
  <sheetData>
    <row r="1" customFormat="false" ht="15" hidden="false" customHeight="false" outlineLevel="0" collapsed="false">
      <c r="A1" s="7" t="s">
        <v>16</v>
      </c>
      <c r="B1" s="7" t="s">
        <v>83</v>
      </c>
      <c r="C1" s="7" t="s">
        <v>84</v>
      </c>
      <c r="D1" s="7" t="s">
        <v>21</v>
      </c>
      <c r="E1" s="7" t="s">
        <v>85</v>
      </c>
    </row>
    <row r="2" customFormat="false" ht="15" hidden="false" customHeight="false" outlineLevel="0" collapsed="false">
      <c r="A2" s="8" t="s">
        <v>23</v>
      </c>
      <c r="B2" s="8" t="s">
        <v>86</v>
      </c>
      <c r="C2" s="8" t="s">
        <v>87</v>
      </c>
      <c r="D2" s="8" t="s">
        <v>88</v>
      </c>
      <c r="E2" s="8" t="s">
        <v>89</v>
      </c>
    </row>
    <row r="3" customFormat="false" ht="23.85" hidden="false" customHeight="false" outlineLevel="0" collapsed="false">
      <c r="A3" s="9" t="n">
        <v>1</v>
      </c>
      <c r="B3" s="9" t="s">
        <v>90</v>
      </c>
      <c r="C3" s="10"/>
      <c r="D3" s="10"/>
      <c r="E3" s="10"/>
    </row>
    <row r="4" customFormat="false" ht="23.85" hidden="false" customHeight="false" outlineLevel="0" collapsed="false">
      <c r="A4" s="9" t="n">
        <v>2</v>
      </c>
      <c r="B4" s="9" t="s">
        <v>91</v>
      </c>
      <c r="C4" s="10"/>
      <c r="D4" s="10"/>
      <c r="E4" s="10"/>
    </row>
    <row r="5" customFormat="false" ht="15" hidden="false" customHeight="false" outlineLevel="0" collapsed="false">
      <c r="A5" s="9" t="n">
        <v>3</v>
      </c>
      <c r="B5" s="9" t="s">
        <v>92</v>
      </c>
      <c r="C5" s="10"/>
      <c r="D5" s="10"/>
      <c r="E5" s="10"/>
    </row>
    <row r="6" customFormat="false" ht="23.85" hidden="false" customHeight="false" outlineLevel="0" collapsed="false">
      <c r="A6" s="9" t="n">
        <v>4</v>
      </c>
      <c r="B6" s="9" t="s">
        <v>93</v>
      </c>
      <c r="C6" s="10"/>
      <c r="D6" s="10"/>
      <c r="E6" s="10"/>
    </row>
    <row r="7" customFormat="false" ht="23.85" hidden="false" customHeight="false" outlineLevel="0" collapsed="false">
      <c r="A7" s="9" t="n">
        <v>5</v>
      </c>
      <c r="B7" s="9" t="s">
        <v>94</v>
      </c>
      <c r="C7" s="10"/>
      <c r="D7" s="10"/>
      <c r="E7" s="10"/>
    </row>
    <row r="8" customFormat="false" ht="23.85" hidden="false" customHeight="false" outlineLevel="0" collapsed="false">
      <c r="A8" s="9" t="n">
        <v>6</v>
      </c>
      <c r="B8" s="9" t="s">
        <v>95</v>
      </c>
      <c r="C8" s="10"/>
      <c r="D8" s="10"/>
      <c r="E8" s="10"/>
    </row>
    <row r="9" customFormat="false" ht="23.85" hidden="false" customHeight="false" outlineLevel="0" collapsed="false">
      <c r="A9" s="9" t="n">
        <v>7</v>
      </c>
      <c r="B9" s="9" t="s">
        <v>96</v>
      </c>
      <c r="C9" s="10"/>
      <c r="D9" s="10"/>
      <c r="E9" s="10"/>
    </row>
    <row r="10" customFormat="false" ht="15" hidden="false" customHeight="false" outlineLevel="0" collapsed="false">
      <c r="A10" s="9" t="n">
        <v>8</v>
      </c>
      <c r="B10" s="9" t="s">
        <v>97</v>
      </c>
      <c r="C10" s="10"/>
      <c r="D10" s="10"/>
      <c r="E10" s="10"/>
    </row>
    <row r="11" customFormat="false" ht="15" hidden="false" customHeight="false" outlineLevel="0" collapsed="false">
      <c r="A11" s="9" t="n">
        <v>9</v>
      </c>
      <c r="B11" s="9" t="s">
        <v>98</v>
      </c>
      <c r="C11" s="10"/>
      <c r="D11" s="10"/>
      <c r="E11" s="10"/>
    </row>
    <row r="12" customFormat="false" ht="15" hidden="false" customHeight="false" outlineLevel="0" collapsed="false">
      <c r="A12" s="9" t="n">
        <v>10</v>
      </c>
      <c r="B12" s="9" t="s">
        <v>99</v>
      </c>
      <c r="C12" s="10"/>
      <c r="D12" s="10"/>
      <c r="E12" s="10"/>
    </row>
    <row r="13" customFormat="false" ht="15" hidden="false" customHeight="false" outlineLevel="0" collapsed="false">
      <c r="A13" s="9" t="n">
        <v>11</v>
      </c>
      <c r="B13" s="9" t="s">
        <v>100</v>
      </c>
      <c r="C13" s="10"/>
      <c r="D13" s="10"/>
      <c r="E13" s="10"/>
    </row>
    <row r="14" customFormat="false" ht="15" hidden="false" customHeight="false" outlineLevel="0" collapsed="false">
      <c r="A14" s="9" t="n">
        <v>12</v>
      </c>
      <c r="B14" s="9" t="s">
        <v>101</v>
      </c>
      <c r="C14" s="10"/>
      <c r="D14" s="10"/>
      <c r="E14" s="10"/>
    </row>
    <row r="15" customFormat="false" ht="15" hidden="false" customHeight="false" outlineLevel="0" collapsed="false">
      <c r="A15" s="9" t="n">
        <v>13</v>
      </c>
      <c r="B15" s="9" t="s">
        <v>102</v>
      </c>
      <c r="C15" s="10"/>
      <c r="D15" s="10"/>
      <c r="E15" s="10"/>
    </row>
    <row r="16" customFormat="false" ht="15" hidden="false" customHeight="false" outlineLevel="0" collapsed="false">
      <c r="A16" s="9" t="n">
        <v>14</v>
      </c>
      <c r="B16" s="9" t="s">
        <v>103</v>
      </c>
      <c r="C16" s="10"/>
      <c r="D16" s="10"/>
      <c r="E16" s="10"/>
    </row>
    <row r="17" customFormat="false" ht="15" hidden="false" customHeight="false" outlineLevel="0" collapsed="false">
      <c r="A17" s="9" t="n">
        <v>15</v>
      </c>
      <c r="B17" s="9" t="s">
        <v>104</v>
      </c>
      <c r="C17" s="10"/>
      <c r="D17" s="10"/>
      <c r="E17" s="10"/>
    </row>
    <row r="18" customFormat="false" ht="15" hidden="false" customHeight="false" outlineLevel="0" collapsed="false">
      <c r="A18" s="9" t="n">
        <v>16</v>
      </c>
      <c r="B18" s="9" t="s">
        <v>105</v>
      </c>
      <c r="C18" s="10"/>
      <c r="D18" s="10"/>
      <c r="E18" s="10"/>
    </row>
    <row r="19" customFormat="false" ht="23.85" hidden="false" customHeight="false" outlineLevel="0" collapsed="false">
      <c r="A19" s="9" t="n">
        <v>17</v>
      </c>
      <c r="B19" s="9" t="s">
        <v>106</v>
      </c>
      <c r="C19" s="10"/>
      <c r="D19" s="10"/>
      <c r="E19" s="10"/>
    </row>
    <row r="20" customFormat="false" ht="15" hidden="false" customHeight="false" outlineLevel="0" collapsed="false">
      <c r="A20" s="9" t="n">
        <v>18</v>
      </c>
      <c r="B20" s="9" t="s">
        <v>107</v>
      </c>
      <c r="C20" s="10"/>
      <c r="D20" s="10"/>
      <c r="E20" s="10"/>
    </row>
    <row r="21" customFormat="false" ht="15" hidden="false" customHeight="false" outlineLevel="0" collapsed="false">
      <c r="A21" s="9" t="n">
        <v>19</v>
      </c>
      <c r="B21" s="9" t="s">
        <v>108</v>
      </c>
      <c r="C21" s="10"/>
      <c r="D21" s="10"/>
      <c r="E21" s="10"/>
    </row>
    <row r="22" customFormat="false" ht="23.85" hidden="false" customHeight="false" outlineLevel="0" collapsed="false">
      <c r="A22" s="9" t="n">
        <v>20</v>
      </c>
      <c r="B22" s="9" t="s">
        <v>109</v>
      </c>
      <c r="C22" s="10"/>
      <c r="D22" s="10"/>
      <c r="E22" s="10"/>
    </row>
    <row r="23" customFormat="false" ht="23.85" hidden="false" customHeight="false" outlineLevel="0" collapsed="false">
      <c r="A23" s="9" t="n">
        <v>21</v>
      </c>
      <c r="B23" s="9" t="s">
        <v>110</v>
      </c>
      <c r="C23" s="10"/>
      <c r="D23" s="10"/>
      <c r="E23" s="10"/>
    </row>
    <row r="24" customFormat="false" ht="15" hidden="false" customHeight="false" outlineLevel="0" collapsed="false">
      <c r="A24" s="9" t="n">
        <v>22</v>
      </c>
      <c r="B24" s="9" t="s">
        <v>111</v>
      </c>
      <c r="C24" s="10"/>
      <c r="D24" s="10"/>
      <c r="E24" s="10"/>
    </row>
    <row r="25" customFormat="false" ht="23.85" hidden="false" customHeight="false" outlineLevel="0" collapsed="false">
      <c r="A25" s="9" t="n">
        <v>23</v>
      </c>
      <c r="B25" s="9" t="s">
        <v>112</v>
      </c>
      <c r="C25" s="10"/>
      <c r="D25" s="10"/>
      <c r="E25" s="10"/>
    </row>
  </sheetData>
  <autoFilter ref="A1:E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40"/>
    <col collapsed="false" customWidth="true" hidden="false" outlineLevel="0" max="4" min="4" style="0" width="11"/>
    <col collapsed="false" customWidth="true" hidden="false" outlineLevel="0" max="5" min="5" style="0" width="22"/>
    <col collapsed="false" customWidth="true" hidden="false" outlineLevel="0" max="6" min="6" style="0" width="24"/>
    <col collapsed="false" customWidth="true" hidden="false" outlineLevel="0" max="7" min="7" style="0" width="8"/>
    <col collapsed="false" customWidth="true" hidden="false" outlineLevel="0" max="8" min="8" style="0" width="34"/>
    <col collapsed="false" customWidth="true" hidden="false" outlineLevel="0" max="9" min="9" style="0" width="14"/>
    <col collapsed="false" customWidth="true" hidden="false" outlineLevel="0" max="10" min="10" style="0" width="26"/>
    <col collapsed="false" customWidth="true" hidden="false" outlineLevel="0" max="11" min="11" style="0" width="12"/>
    <col collapsed="false" customWidth="true" hidden="false" outlineLevel="0" max="12" min="12" style="0" width="28"/>
    <col collapsed="false" customWidth="true" hidden="false" outlineLevel="0" max="13" min="13" style="0" width="40"/>
    <col collapsed="false" customWidth="true" hidden="false" outlineLevel="0" max="14" min="14" style="0" width="24"/>
  </cols>
  <sheetData>
    <row r="1" customFormat="false" ht="35.05" hidden="false" customHeight="false" outlineLevel="0" collapsed="false">
      <c r="A1" s="7" t="s">
        <v>113</v>
      </c>
      <c r="B1" s="7" t="s">
        <v>114</v>
      </c>
      <c r="C1" s="7" t="s">
        <v>115</v>
      </c>
      <c r="D1" s="7" t="s">
        <v>116</v>
      </c>
      <c r="E1" s="7" t="s">
        <v>117</v>
      </c>
      <c r="F1" s="7" t="s">
        <v>118</v>
      </c>
      <c r="G1" s="7" t="s">
        <v>119</v>
      </c>
      <c r="H1" s="7" t="s">
        <v>120</v>
      </c>
      <c r="I1" s="7" t="s">
        <v>121</v>
      </c>
      <c r="J1" s="7" t="s">
        <v>122</v>
      </c>
      <c r="K1" s="7" t="s">
        <v>123</v>
      </c>
      <c r="L1" s="7" t="s">
        <v>124</v>
      </c>
      <c r="M1" s="7" t="s">
        <v>125</v>
      </c>
      <c r="N1" s="7" t="s">
        <v>22</v>
      </c>
    </row>
    <row r="2" customFormat="false" ht="23.85" hidden="false" customHeight="false" outlineLevel="0" collapsed="false">
      <c r="A2" s="8" t="s">
        <v>23</v>
      </c>
      <c r="B2" s="8" t="s">
        <v>126</v>
      </c>
      <c r="C2" s="8" t="s">
        <v>127</v>
      </c>
      <c r="D2" s="8" t="s">
        <v>128</v>
      </c>
      <c r="E2" s="8" t="s">
        <v>129</v>
      </c>
      <c r="F2" s="8" t="s">
        <v>130</v>
      </c>
      <c r="G2" s="8" t="s">
        <v>131</v>
      </c>
      <c r="H2" s="8" t="s">
        <v>132</v>
      </c>
      <c r="I2" s="8" t="s">
        <v>133</v>
      </c>
      <c r="J2" s="8" t="s">
        <v>134</v>
      </c>
      <c r="K2" s="8" t="s">
        <v>135</v>
      </c>
      <c r="L2" s="8" t="s">
        <v>136</v>
      </c>
      <c r="M2" s="8" t="s">
        <v>137</v>
      </c>
      <c r="N2" s="8"/>
    </row>
    <row r="3" customFormat="false" ht="23.85" hidden="false" customHeight="false" outlineLevel="0" collapsed="false">
      <c r="A3" s="9" t="s">
        <v>138</v>
      </c>
      <c r="B3" s="9" t="s">
        <v>139</v>
      </c>
      <c r="C3" s="9" t="s">
        <v>127</v>
      </c>
      <c r="D3" s="9" t="s">
        <v>128</v>
      </c>
      <c r="E3" s="9" t="s">
        <v>129</v>
      </c>
      <c r="F3" s="9" t="s">
        <v>130</v>
      </c>
      <c r="G3" s="9" t="s">
        <v>131</v>
      </c>
      <c r="H3" s="9" t="s">
        <v>140</v>
      </c>
      <c r="I3" s="10"/>
      <c r="J3" s="10"/>
      <c r="K3" s="10"/>
      <c r="L3" s="10"/>
      <c r="M3" s="10"/>
      <c r="N3" s="10"/>
    </row>
    <row r="4" customFormat="false" ht="23.85" hidden="false" customHeight="false" outlineLevel="0" collapsed="false">
      <c r="A4" s="9" t="s">
        <v>141</v>
      </c>
      <c r="B4" s="9" t="s">
        <v>139</v>
      </c>
      <c r="C4" s="9" t="s">
        <v>142</v>
      </c>
      <c r="D4" s="9" t="s">
        <v>128</v>
      </c>
      <c r="E4" s="9" t="s">
        <v>143</v>
      </c>
      <c r="F4" s="9" t="s">
        <v>144</v>
      </c>
      <c r="G4" s="9" t="s">
        <v>131</v>
      </c>
      <c r="H4" s="9" t="s">
        <v>145</v>
      </c>
      <c r="I4" s="10"/>
      <c r="J4" s="10"/>
      <c r="K4" s="10"/>
      <c r="L4" s="10"/>
      <c r="M4" s="10"/>
      <c r="N4" s="10"/>
    </row>
    <row r="5" customFormat="false" ht="23.85" hidden="false" customHeight="false" outlineLevel="0" collapsed="false">
      <c r="A5" s="9" t="s">
        <v>146</v>
      </c>
      <c r="B5" s="9" t="s">
        <v>139</v>
      </c>
      <c r="C5" s="9" t="s">
        <v>147</v>
      </c>
      <c r="D5" s="9" t="s">
        <v>128</v>
      </c>
      <c r="E5" s="9" t="s">
        <v>143</v>
      </c>
      <c r="F5" s="9" t="s">
        <v>130</v>
      </c>
      <c r="G5" s="9" t="s">
        <v>131</v>
      </c>
      <c r="H5" s="9" t="s">
        <v>145</v>
      </c>
      <c r="I5" s="10"/>
      <c r="J5" s="10"/>
      <c r="K5" s="10"/>
      <c r="L5" s="10"/>
      <c r="M5" s="10"/>
      <c r="N5" s="10"/>
    </row>
    <row r="6" customFormat="false" ht="23.85" hidden="false" customHeight="false" outlineLevel="0" collapsed="false">
      <c r="A6" s="9" t="s">
        <v>148</v>
      </c>
      <c r="B6" s="9" t="s">
        <v>139</v>
      </c>
      <c r="C6" s="9" t="s">
        <v>149</v>
      </c>
      <c r="D6" s="9" t="s">
        <v>150</v>
      </c>
      <c r="E6" s="9" t="s">
        <v>143</v>
      </c>
      <c r="F6" s="9" t="s">
        <v>151</v>
      </c>
      <c r="G6" s="9" t="s">
        <v>131</v>
      </c>
      <c r="H6" s="9" t="s">
        <v>145</v>
      </c>
      <c r="I6" s="10"/>
      <c r="J6" s="10"/>
      <c r="K6" s="10"/>
      <c r="L6" s="10"/>
      <c r="M6" s="10"/>
      <c r="N6" s="10"/>
    </row>
    <row r="7" customFormat="false" ht="23.85" hidden="false" customHeight="false" outlineLevel="0" collapsed="false">
      <c r="A7" s="9" t="s">
        <v>152</v>
      </c>
      <c r="B7" s="9" t="s">
        <v>139</v>
      </c>
      <c r="C7" s="9" t="s">
        <v>153</v>
      </c>
      <c r="D7" s="9" t="s">
        <v>150</v>
      </c>
      <c r="E7" s="9" t="s">
        <v>143</v>
      </c>
      <c r="F7" s="9" t="s">
        <v>154</v>
      </c>
      <c r="G7" s="9" t="s">
        <v>131</v>
      </c>
      <c r="H7" s="9" t="s">
        <v>145</v>
      </c>
      <c r="I7" s="10"/>
      <c r="J7" s="10"/>
      <c r="K7" s="10"/>
      <c r="L7" s="10"/>
      <c r="M7" s="10"/>
      <c r="N7" s="10"/>
    </row>
    <row r="8" customFormat="false" ht="23.85" hidden="false" customHeight="false" outlineLevel="0" collapsed="false">
      <c r="A8" s="9" t="s">
        <v>155</v>
      </c>
      <c r="B8" s="9" t="s">
        <v>139</v>
      </c>
      <c r="C8" s="9" t="s">
        <v>156</v>
      </c>
      <c r="D8" s="9" t="s">
        <v>128</v>
      </c>
      <c r="E8" s="9" t="s">
        <v>143</v>
      </c>
      <c r="F8" s="9" t="s">
        <v>154</v>
      </c>
      <c r="G8" s="9" t="s">
        <v>131</v>
      </c>
      <c r="H8" s="9" t="s">
        <v>140</v>
      </c>
      <c r="I8" s="10"/>
      <c r="J8" s="10"/>
      <c r="K8" s="10"/>
      <c r="L8" s="10"/>
      <c r="M8" s="10"/>
      <c r="N8" s="10"/>
    </row>
    <row r="9" customFormat="false" ht="23.85" hidden="false" customHeight="false" outlineLevel="0" collapsed="false">
      <c r="A9" s="9" t="s">
        <v>157</v>
      </c>
      <c r="B9" s="9" t="s">
        <v>158</v>
      </c>
      <c r="C9" s="9" t="s">
        <v>159</v>
      </c>
      <c r="D9" s="9" t="s">
        <v>128</v>
      </c>
      <c r="E9" s="9" t="s">
        <v>143</v>
      </c>
      <c r="F9" s="9" t="s">
        <v>130</v>
      </c>
      <c r="G9" s="9" t="s">
        <v>131</v>
      </c>
      <c r="H9" s="9" t="s">
        <v>145</v>
      </c>
      <c r="I9" s="10"/>
      <c r="J9" s="10"/>
      <c r="K9" s="10"/>
      <c r="L9" s="10"/>
      <c r="M9" s="10"/>
      <c r="N9" s="10"/>
    </row>
    <row r="10" customFormat="false" ht="23.85" hidden="false" customHeight="false" outlineLevel="0" collapsed="false">
      <c r="A10" s="9" t="s">
        <v>160</v>
      </c>
      <c r="B10" s="9" t="s">
        <v>158</v>
      </c>
      <c r="C10" s="9" t="s">
        <v>161</v>
      </c>
      <c r="D10" s="9" t="s">
        <v>128</v>
      </c>
      <c r="E10" s="9" t="s">
        <v>129</v>
      </c>
      <c r="F10" s="9" t="s">
        <v>154</v>
      </c>
      <c r="G10" s="9" t="s">
        <v>131</v>
      </c>
      <c r="H10" s="9" t="s">
        <v>140</v>
      </c>
      <c r="I10" s="10"/>
      <c r="J10" s="10"/>
      <c r="K10" s="10"/>
      <c r="L10" s="10"/>
      <c r="M10" s="10"/>
      <c r="N10" s="10"/>
    </row>
    <row r="11" customFormat="false" ht="23.85" hidden="false" customHeight="false" outlineLevel="0" collapsed="false">
      <c r="A11" s="9" t="s">
        <v>162</v>
      </c>
      <c r="B11" s="9" t="s">
        <v>158</v>
      </c>
      <c r="C11" s="9" t="s">
        <v>163</v>
      </c>
      <c r="D11" s="9" t="s">
        <v>128</v>
      </c>
      <c r="E11" s="9" t="s">
        <v>143</v>
      </c>
      <c r="F11" s="9" t="s">
        <v>130</v>
      </c>
      <c r="G11" s="9" t="s">
        <v>131</v>
      </c>
      <c r="H11" s="9" t="s">
        <v>140</v>
      </c>
      <c r="I11" s="10"/>
      <c r="J11" s="10"/>
      <c r="K11" s="10"/>
      <c r="L11" s="10"/>
      <c r="M11" s="10"/>
      <c r="N11" s="10"/>
    </row>
    <row r="12" customFormat="false" ht="23.85" hidden="false" customHeight="false" outlineLevel="0" collapsed="false">
      <c r="A12" s="9" t="s">
        <v>164</v>
      </c>
      <c r="B12" s="9" t="s">
        <v>165</v>
      </c>
      <c r="C12" s="9" t="s">
        <v>166</v>
      </c>
      <c r="D12" s="9" t="s">
        <v>128</v>
      </c>
      <c r="E12" s="9" t="s">
        <v>143</v>
      </c>
      <c r="F12" s="9" t="s">
        <v>130</v>
      </c>
      <c r="G12" s="9" t="s">
        <v>131</v>
      </c>
      <c r="H12" s="9" t="s">
        <v>140</v>
      </c>
      <c r="I12" s="10"/>
      <c r="J12" s="10"/>
      <c r="K12" s="10"/>
      <c r="L12" s="10"/>
      <c r="M12" s="10"/>
      <c r="N12" s="10"/>
    </row>
    <row r="13" customFormat="false" ht="23.85" hidden="false" customHeight="false" outlineLevel="0" collapsed="false">
      <c r="A13" s="9" t="s">
        <v>167</v>
      </c>
      <c r="B13" s="9" t="s">
        <v>165</v>
      </c>
      <c r="C13" s="9" t="s">
        <v>168</v>
      </c>
      <c r="D13" s="9" t="s">
        <v>128</v>
      </c>
      <c r="E13" s="9" t="s">
        <v>143</v>
      </c>
      <c r="F13" s="9" t="s">
        <v>130</v>
      </c>
      <c r="G13" s="9" t="s">
        <v>131</v>
      </c>
      <c r="H13" s="9" t="s">
        <v>140</v>
      </c>
      <c r="I13" s="10"/>
      <c r="J13" s="10"/>
      <c r="K13" s="10"/>
      <c r="L13" s="10"/>
      <c r="M13" s="10"/>
      <c r="N13" s="10"/>
    </row>
    <row r="14" customFormat="false" ht="23.85" hidden="false" customHeight="false" outlineLevel="0" collapsed="false">
      <c r="A14" s="9" t="s">
        <v>169</v>
      </c>
      <c r="B14" s="9" t="s">
        <v>165</v>
      </c>
      <c r="C14" s="9" t="s">
        <v>170</v>
      </c>
      <c r="D14" s="9" t="s">
        <v>128</v>
      </c>
      <c r="E14" s="9" t="s">
        <v>143</v>
      </c>
      <c r="F14" s="9" t="s">
        <v>130</v>
      </c>
      <c r="G14" s="9" t="s">
        <v>131</v>
      </c>
      <c r="H14" s="9" t="s">
        <v>140</v>
      </c>
      <c r="I14" s="10"/>
      <c r="J14" s="10"/>
      <c r="K14" s="10"/>
      <c r="L14" s="10"/>
      <c r="M14" s="10"/>
      <c r="N14" s="10"/>
    </row>
    <row r="15" customFormat="false" ht="23.85" hidden="false" customHeight="false" outlineLevel="0" collapsed="false">
      <c r="A15" s="9" t="s">
        <v>171</v>
      </c>
      <c r="B15" s="9" t="s">
        <v>165</v>
      </c>
      <c r="C15" s="9" t="s">
        <v>172</v>
      </c>
      <c r="D15" s="9" t="s">
        <v>128</v>
      </c>
      <c r="E15" s="9" t="s">
        <v>129</v>
      </c>
      <c r="F15" s="9" t="s">
        <v>130</v>
      </c>
      <c r="G15" s="9" t="s">
        <v>131</v>
      </c>
      <c r="H15" s="9" t="s">
        <v>140</v>
      </c>
      <c r="I15" s="10"/>
      <c r="J15" s="10"/>
      <c r="K15" s="10"/>
      <c r="L15" s="10"/>
      <c r="M15" s="10"/>
      <c r="N15" s="10"/>
    </row>
    <row r="16" customFormat="false" ht="23.85" hidden="false" customHeight="false" outlineLevel="0" collapsed="false">
      <c r="A16" s="9" t="s">
        <v>173</v>
      </c>
      <c r="B16" s="9" t="s">
        <v>165</v>
      </c>
      <c r="C16" s="9" t="s">
        <v>174</v>
      </c>
      <c r="D16" s="9" t="s">
        <v>128</v>
      </c>
      <c r="E16" s="9" t="s">
        <v>143</v>
      </c>
      <c r="F16" s="9" t="s">
        <v>130</v>
      </c>
      <c r="G16" s="9" t="s">
        <v>131</v>
      </c>
      <c r="H16" s="9" t="s">
        <v>140</v>
      </c>
      <c r="I16" s="10"/>
      <c r="J16" s="10"/>
      <c r="K16" s="10"/>
      <c r="L16" s="10"/>
      <c r="M16" s="10"/>
      <c r="N16" s="10"/>
    </row>
    <row r="17" customFormat="false" ht="23.85" hidden="false" customHeight="false" outlineLevel="0" collapsed="false">
      <c r="A17" s="9" t="s">
        <v>175</v>
      </c>
      <c r="B17" s="9" t="s">
        <v>165</v>
      </c>
      <c r="C17" s="9" t="s">
        <v>176</v>
      </c>
      <c r="D17" s="9" t="s">
        <v>128</v>
      </c>
      <c r="E17" s="9" t="s">
        <v>143</v>
      </c>
      <c r="F17" s="9" t="s">
        <v>130</v>
      </c>
      <c r="G17" s="9" t="s">
        <v>131</v>
      </c>
      <c r="H17" s="9" t="s">
        <v>140</v>
      </c>
      <c r="I17" s="10"/>
      <c r="J17" s="10"/>
      <c r="K17" s="10"/>
      <c r="L17" s="10"/>
      <c r="M17" s="10"/>
      <c r="N17" s="10"/>
    </row>
    <row r="18" customFormat="false" ht="23.85" hidden="false" customHeight="false" outlineLevel="0" collapsed="false">
      <c r="A18" s="9" t="s">
        <v>177</v>
      </c>
      <c r="B18" s="9" t="s">
        <v>165</v>
      </c>
      <c r="C18" s="9" t="s">
        <v>178</v>
      </c>
      <c r="D18" s="9" t="s">
        <v>128</v>
      </c>
      <c r="E18" s="9" t="s">
        <v>143</v>
      </c>
      <c r="F18" s="9" t="s">
        <v>144</v>
      </c>
      <c r="G18" s="9" t="s">
        <v>131</v>
      </c>
      <c r="H18" s="9" t="s">
        <v>145</v>
      </c>
      <c r="I18" s="10"/>
      <c r="J18" s="10"/>
      <c r="K18" s="10"/>
      <c r="L18" s="10"/>
      <c r="M18" s="10"/>
      <c r="N18" s="10"/>
    </row>
    <row r="19" customFormat="false" ht="23.85" hidden="false" customHeight="false" outlineLevel="0" collapsed="false">
      <c r="A19" s="9" t="s">
        <v>179</v>
      </c>
      <c r="B19" s="9" t="s">
        <v>165</v>
      </c>
      <c r="C19" s="9" t="s">
        <v>180</v>
      </c>
      <c r="D19" s="9" t="s">
        <v>128</v>
      </c>
      <c r="E19" s="9" t="s">
        <v>129</v>
      </c>
      <c r="F19" s="9" t="s">
        <v>130</v>
      </c>
      <c r="G19" s="9" t="s">
        <v>131</v>
      </c>
      <c r="H19" s="9" t="s">
        <v>140</v>
      </c>
      <c r="I19" s="10"/>
      <c r="J19" s="10"/>
      <c r="K19" s="10"/>
      <c r="L19" s="10"/>
      <c r="M19" s="10"/>
      <c r="N19" s="10"/>
    </row>
    <row r="20" customFormat="false" ht="23.85" hidden="false" customHeight="false" outlineLevel="0" collapsed="false">
      <c r="A20" s="9" t="s">
        <v>181</v>
      </c>
      <c r="B20" s="9" t="s">
        <v>165</v>
      </c>
      <c r="C20" s="9" t="s">
        <v>182</v>
      </c>
      <c r="D20" s="9" t="s">
        <v>128</v>
      </c>
      <c r="E20" s="9" t="s">
        <v>183</v>
      </c>
      <c r="F20" s="9" t="s">
        <v>130</v>
      </c>
      <c r="G20" s="9" t="s">
        <v>131</v>
      </c>
      <c r="H20" s="9" t="s">
        <v>140</v>
      </c>
      <c r="I20" s="10"/>
      <c r="J20" s="10"/>
      <c r="K20" s="10"/>
      <c r="L20" s="10"/>
      <c r="M20" s="10"/>
      <c r="N20" s="10"/>
    </row>
    <row r="21" customFormat="false" ht="23.85" hidden="false" customHeight="false" outlineLevel="0" collapsed="false">
      <c r="A21" s="9" t="s">
        <v>184</v>
      </c>
      <c r="B21" s="9" t="s">
        <v>165</v>
      </c>
      <c r="C21" s="9" t="s">
        <v>185</v>
      </c>
      <c r="D21" s="9" t="s">
        <v>128</v>
      </c>
      <c r="E21" s="9" t="s">
        <v>183</v>
      </c>
      <c r="F21" s="9" t="s">
        <v>130</v>
      </c>
      <c r="G21" s="9" t="s">
        <v>131</v>
      </c>
      <c r="H21" s="9" t="s">
        <v>140</v>
      </c>
      <c r="I21" s="10"/>
      <c r="J21" s="10"/>
      <c r="K21" s="10"/>
      <c r="L21" s="10"/>
      <c r="M21" s="10"/>
      <c r="N21" s="10"/>
    </row>
    <row r="22" customFormat="false" ht="23.85" hidden="false" customHeight="false" outlineLevel="0" collapsed="false">
      <c r="A22" s="9" t="s">
        <v>186</v>
      </c>
      <c r="B22" s="9" t="s">
        <v>187</v>
      </c>
      <c r="C22" s="9" t="s">
        <v>188</v>
      </c>
      <c r="D22" s="9" t="s">
        <v>128</v>
      </c>
      <c r="E22" s="9" t="s">
        <v>143</v>
      </c>
      <c r="F22" s="9" t="s">
        <v>130</v>
      </c>
      <c r="G22" s="9" t="s">
        <v>131</v>
      </c>
      <c r="H22" s="9" t="s">
        <v>145</v>
      </c>
      <c r="I22" s="10"/>
      <c r="J22" s="10"/>
      <c r="K22" s="10"/>
      <c r="L22" s="10"/>
      <c r="M22" s="10"/>
      <c r="N22" s="10"/>
    </row>
    <row r="23" customFormat="false" ht="23.85" hidden="false" customHeight="false" outlineLevel="0" collapsed="false">
      <c r="A23" s="9" t="s">
        <v>189</v>
      </c>
      <c r="B23" s="9" t="s">
        <v>187</v>
      </c>
      <c r="C23" s="9" t="s">
        <v>190</v>
      </c>
      <c r="D23" s="9" t="s">
        <v>150</v>
      </c>
      <c r="E23" s="9" t="s">
        <v>143</v>
      </c>
      <c r="F23" s="9" t="s">
        <v>144</v>
      </c>
      <c r="G23" s="9" t="s">
        <v>131</v>
      </c>
      <c r="H23" s="9" t="s">
        <v>145</v>
      </c>
      <c r="I23" s="10"/>
      <c r="J23" s="10"/>
      <c r="K23" s="10"/>
      <c r="L23" s="10"/>
      <c r="M23" s="10"/>
      <c r="N23" s="10"/>
    </row>
    <row r="24" customFormat="false" ht="23.85" hidden="false" customHeight="false" outlineLevel="0" collapsed="false">
      <c r="A24" s="9" t="s">
        <v>191</v>
      </c>
      <c r="B24" s="9" t="s">
        <v>192</v>
      </c>
      <c r="C24" s="9" t="s">
        <v>193</v>
      </c>
      <c r="D24" s="9" t="s">
        <v>128</v>
      </c>
      <c r="E24" s="9" t="s">
        <v>143</v>
      </c>
      <c r="F24" s="9" t="s">
        <v>130</v>
      </c>
      <c r="G24" s="9" t="s">
        <v>131</v>
      </c>
      <c r="H24" s="9" t="s">
        <v>140</v>
      </c>
      <c r="I24" s="10"/>
      <c r="J24" s="10"/>
      <c r="K24" s="10"/>
      <c r="L24" s="10"/>
      <c r="M24" s="10"/>
      <c r="N24" s="10"/>
    </row>
    <row r="25" customFormat="false" ht="23.85" hidden="false" customHeight="false" outlineLevel="0" collapsed="false">
      <c r="A25" s="9" t="s">
        <v>194</v>
      </c>
      <c r="B25" s="9" t="s">
        <v>192</v>
      </c>
      <c r="C25" s="9" t="s">
        <v>195</v>
      </c>
      <c r="D25" s="9" t="s">
        <v>128</v>
      </c>
      <c r="E25" s="9" t="s">
        <v>183</v>
      </c>
      <c r="F25" s="9" t="s">
        <v>130</v>
      </c>
      <c r="G25" s="9" t="s">
        <v>131</v>
      </c>
      <c r="H25" s="9" t="s">
        <v>140</v>
      </c>
      <c r="I25" s="10"/>
      <c r="J25" s="10"/>
      <c r="K25" s="10"/>
      <c r="L25" s="10"/>
      <c r="M25" s="10"/>
      <c r="N25" s="10"/>
    </row>
    <row r="26" customFormat="false" ht="23.85" hidden="false" customHeight="false" outlineLevel="0" collapsed="false">
      <c r="A26" s="9" t="s">
        <v>196</v>
      </c>
      <c r="B26" s="9" t="s">
        <v>192</v>
      </c>
      <c r="C26" s="9" t="s">
        <v>197</v>
      </c>
      <c r="D26" s="9" t="s">
        <v>128</v>
      </c>
      <c r="E26" s="9" t="s">
        <v>183</v>
      </c>
      <c r="F26" s="9" t="s">
        <v>130</v>
      </c>
      <c r="G26" s="9" t="s">
        <v>131</v>
      </c>
      <c r="H26" s="9" t="s">
        <v>140</v>
      </c>
      <c r="I26" s="10"/>
      <c r="J26" s="10"/>
      <c r="K26" s="10"/>
      <c r="L26" s="10"/>
      <c r="M26" s="10"/>
      <c r="N26" s="10"/>
    </row>
    <row r="27" customFormat="false" ht="23.85" hidden="false" customHeight="false" outlineLevel="0" collapsed="false">
      <c r="A27" s="9" t="s">
        <v>198</v>
      </c>
      <c r="B27" s="9" t="s">
        <v>192</v>
      </c>
      <c r="C27" s="9" t="s">
        <v>199</v>
      </c>
      <c r="D27" s="9" t="s">
        <v>128</v>
      </c>
      <c r="E27" s="9" t="s">
        <v>183</v>
      </c>
      <c r="F27" s="9" t="s">
        <v>130</v>
      </c>
      <c r="G27" s="9" t="s">
        <v>131</v>
      </c>
      <c r="H27" s="9" t="s">
        <v>140</v>
      </c>
      <c r="I27" s="10"/>
      <c r="J27" s="10"/>
      <c r="K27" s="10"/>
      <c r="L27" s="10"/>
      <c r="M27" s="10"/>
      <c r="N27" s="10"/>
    </row>
    <row r="28" customFormat="false" ht="23.85" hidden="false" customHeight="false" outlineLevel="0" collapsed="false">
      <c r="A28" s="9" t="s">
        <v>200</v>
      </c>
      <c r="B28" s="9" t="s">
        <v>192</v>
      </c>
      <c r="C28" s="9" t="s">
        <v>201</v>
      </c>
      <c r="D28" s="9" t="s">
        <v>128</v>
      </c>
      <c r="E28" s="9" t="s">
        <v>183</v>
      </c>
      <c r="F28" s="9" t="s">
        <v>130</v>
      </c>
      <c r="G28" s="9" t="s">
        <v>131</v>
      </c>
      <c r="H28" s="9" t="s">
        <v>140</v>
      </c>
      <c r="I28" s="10"/>
      <c r="J28" s="10"/>
      <c r="K28" s="10"/>
      <c r="L28" s="10"/>
      <c r="M28" s="10"/>
      <c r="N28" s="10"/>
    </row>
    <row r="29" customFormat="false" ht="23.85" hidden="false" customHeight="false" outlineLevel="0" collapsed="false">
      <c r="A29" s="9" t="s">
        <v>202</v>
      </c>
      <c r="B29" s="9" t="s">
        <v>192</v>
      </c>
      <c r="C29" s="9" t="s">
        <v>203</v>
      </c>
      <c r="D29" s="9" t="s">
        <v>128</v>
      </c>
      <c r="E29" s="9" t="s">
        <v>129</v>
      </c>
      <c r="F29" s="9" t="s">
        <v>130</v>
      </c>
      <c r="G29" s="9" t="s">
        <v>131</v>
      </c>
      <c r="H29" s="9" t="s">
        <v>140</v>
      </c>
      <c r="I29" s="10"/>
      <c r="J29" s="10"/>
      <c r="K29" s="10"/>
      <c r="L29" s="10"/>
      <c r="M29" s="10"/>
      <c r="N29" s="10"/>
    </row>
    <row r="30" customFormat="false" ht="23.85" hidden="false" customHeight="false" outlineLevel="0" collapsed="false">
      <c r="A30" s="9" t="s">
        <v>204</v>
      </c>
      <c r="B30" s="9" t="s">
        <v>192</v>
      </c>
      <c r="C30" s="9" t="s">
        <v>205</v>
      </c>
      <c r="D30" s="9" t="s">
        <v>128</v>
      </c>
      <c r="E30" s="9" t="s">
        <v>129</v>
      </c>
      <c r="F30" s="9" t="s">
        <v>130</v>
      </c>
      <c r="G30" s="9" t="s">
        <v>131</v>
      </c>
      <c r="H30" s="9" t="s">
        <v>140</v>
      </c>
      <c r="I30" s="10"/>
      <c r="J30" s="10"/>
      <c r="K30" s="10"/>
      <c r="L30" s="10"/>
      <c r="M30" s="10"/>
      <c r="N30" s="10"/>
    </row>
    <row r="31" customFormat="false" ht="23.85" hidden="false" customHeight="false" outlineLevel="0" collapsed="false">
      <c r="A31" s="9" t="s">
        <v>206</v>
      </c>
      <c r="B31" s="9" t="s">
        <v>207</v>
      </c>
      <c r="C31" s="9" t="s">
        <v>208</v>
      </c>
      <c r="D31" s="9" t="s">
        <v>128</v>
      </c>
      <c r="E31" s="9" t="s">
        <v>143</v>
      </c>
      <c r="F31" s="9" t="s">
        <v>130</v>
      </c>
      <c r="G31" s="9" t="s">
        <v>131</v>
      </c>
      <c r="H31" s="9" t="s">
        <v>140</v>
      </c>
      <c r="I31" s="10"/>
      <c r="J31" s="10"/>
      <c r="K31" s="10"/>
      <c r="L31" s="10"/>
      <c r="M31" s="10"/>
      <c r="N31" s="10"/>
    </row>
    <row r="32" customFormat="false" ht="23.85" hidden="false" customHeight="false" outlineLevel="0" collapsed="false">
      <c r="A32" s="9" t="s">
        <v>209</v>
      </c>
      <c r="B32" s="9" t="s">
        <v>210</v>
      </c>
      <c r="C32" s="9" t="s">
        <v>211</v>
      </c>
      <c r="D32" s="9" t="s">
        <v>128</v>
      </c>
      <c r="E32" s="9" t="s">
        <v>183</v>
      </c>
      <c r="F32" s="9" t="s">
        <v>154</v>
      </c>
      <c r="G32" s="9" t="s">
        <v>131</v>
      </c>
      <c r="H32" s="9" t="s">
        <v>140</v>
      </c>
      <c r="I32" s="10"/>
      <c r="J32" s="10"/>
      <c r="K32" s="10"/>
      <c r="L32" s="10"/>
      <c r="M32" s="10"/>
      <c r="N32" s="10"/>
    </row>
    <row r="33" customFormat="false" ht="23.85" hidden="false" customHeight="false" outlineLevel="0" collapsed="false">
      <c r="A33" s="9" t="s">
        <v>212</v>
      </c>
      <c r="B33" s="9" t="s">
        <v>210</v>
      </c>
      <c r="C33" s="9" t="s">
        <v>213</v>
      </c>
      <c r="D33" s="9" t="s">
        <v>128</v>
      </c>
      <c r="E33" s="9" t="s">
        <v>129</v>
      </c>
      <c r="F33" s="9" t="s">
        <v>154</v>
      </c>
      <c r="G33" s="9" t="s">
        <v>131</v>
      </c>
      <c r="H33" s="9" t="s">
        <v>140</v>
      </c>
      <c r="I33" s="10"/>
      <c r="J33" s="10"/>
      <c r="K33" s="10"/>
      <c r="L33" s="10"/>
      <c r="M33" s="10"/>
      <c r="N33" s="10"/>
    </row>
    <row r="34" customFormat="false" ht="23.85" hidden="false" customHeight="false" outlineLevel="0" collapsed="false">
      <c r="A34" s="9" t="s">
        <v>214</v>
      </c>
      <c r="B34" s="9" t="s">
        <v>210</v>
      </c>
      <c r="C34" s="9" t="s">
        <v>215</v>
      </c>
      <c r="D34" s="9" t="s">
        <v>128</v>
      </c>
      <c r="E34" s="9" t="s">
        <v>129</v>
      </c>
      <c r="F34" s="9" t="s">
        <v>154</v>
      </c>
      <c r="G34" s="9" t="s">
        <v>131</v>
      </c>
      <c r="H34" s="9" t="s">
        <v>140</v>
      </c>
      <c r="I34" s="10"/>
      <c r="J34" s="10"/>
      <c r="K34" s="10"/>
      <c r="L34" s="10"/>
      <c r="M34" s="10"/>
      <c r="N34" s="10"/>
    </row>
    <row r="35" customFormat="false" ht="23.85" hidden="false" customHeight="false" outlineLevel="0" collapsed="false">
      <c r="A35" s="9" t="s">
        <v>216</v>
      </c>
      <c r="B35" s="9" t="s">
        <v>210</v>
      </c>
      <c r="C35" s="9" t="s">
        <v>217</v>
      </c>
      <c r="D35" s="9" t="s">
        <v>128</v>
      </c>
      <c r="E35" s="9" t="s">
        <v>129</v>
      </c>
      <c r="F35" s="9" t="s">
        <v>154</v>
      </c>
      <c r="G35" s="9" t="s">
        <v>131</v>
      </c>
      <c r="H35" s="9" t="s">
        <v>140</v>
      </c>
      <c r="I35" s="10"/>
      <c r="J35" s="10"/>
      <c r="K35" s="10"/>
      <c r="L35" s="10"/>
      <c r="M35" s="10"/>
      <c r="N35" s="10"/>
    </row>
    <row r="36" customFormat="false" ht="23.85" hidden="false" customHeight="false" outlineLevel="0" collapsed="false">
      <c r="A36" s="9" t="s">
        <v>218</v>
      </c>
      <c r="B36" s="9" t="s">
        <v>210</v>
      </c>
      <c r="C36" s="9" t="s">
        <v>219</v>
      </c>
      <c r="D36" s="9" t="s">
        <v>128</v>
      </c>
      <c r="E36" s="9" t="s">
        <v>183</v>
      </c>
      <c r="F36" s="9" t="s">
        <v>130</v>
      </c>
      <c r="G36" s="9" t="s">
        <v>131</v>
      </c>
      <c r="H36" s="9" t="s">
        <v>140</v>
      </c>
      <c r="I36" s="10"/>
      <c r="J36" s="10"/>
      <c r="K36" s="10"/>
      <c r="L36" s="10"/>
      <c r="M36" s="10"/>
      <c r="N36" s="10"/>
    </row>
    <row r="37" customFormat="false" ht="23.85" hidden="false" customHeight="false" outlineLevel="0" collapsed="false">
      <c r="A37" s="9" t="s">
        <v>220</v>
      </c>
      <c r="B37" s="9" t="s">
        <v>210</v>
      </c>
      <c r="C37" s="9" t="s">
        <v>221</v>
      </c>
      <c r="D37" s="9" t="s">
        <v>128</v>
      </c>
      <c r="E37" s="9" t="s">
        <v>183</v>
      </c>
      <c r="F37" s="9" t="s">
        <v>130</v>
      </c>
      <c r="G37" s="9" t="s">
        <v>131</v>
      </c>
      <c r="H37" s="9" t="s">
        <v>140</v>
      </c>
      <c r="I37" s="10"/>
      <c r="J37" s="10"/>
      <c r="K37" s="10"/>
      <c r="L37" s="10"/>
      <c r="M37" s="10"/>
      <c r="N37" s="10"/>
    </row>
    <row r="38" customFormat="false" ht="23.85" hidden="false" customHeight="false" outlineLevel="0" collapsed="false">
      <c r="A38" s="9" t="s">
        <v>222</v>
      </c>
      <c r="B38" s="9" t="s">
        <v>210</v>
      </c>
      <c r="C38" s="9" t="s">
        <v>223</v>
      </c>
      <c r="D38" s="9" t="s">
        <v>128</v>
      </c>
      <c r="E38" s="9" t="s">
        <v>183</v>
      </c>
      <c r="F38" s="9" t="s">
        <v>130</v>
      </c>
      <c r="G38" s="9" t="s">
        <v>131</v>
      </c>
      <c r="H38" s="9" t="s">
        <v>140</v>
      </c>
      <c r="I38" s="10"/>
      <c r="J38" s="10"/>
      <c r="K38" s="10"/>
      <c r="L38" s="10"/>
      <c r="M38" s="10"/>
      <c r="N38" s="10"/>
    </row>
    <row r="39" customFormat="false" ht="23.85" hidden="false" customHeight="false" outlineLevel="0" collapsed="false">
      <c r="A39" s="9" t="s">
        <v>224</v>
      </c>
      <c r="B39" s="9" t="s">
        <v>210</v>
      </c>
      <c r="C39" s="9" t="s">
        <v>225</v>
      </c>
      <c r="D39" s="9" t="s">
        <v>128</v>
      </c>
      <c r="E39" s="9" t="s">
        <v>226</v>
      </c>
      <c r="F39" s="9" t="s">
        <v>154</v>
      </c>
      <c r="G39" s="9" t="s">
        <v>131</v>
      </c>
      <c r="H39" s="9" t="s">
        <v>140</v>
      </c>
      <c r="I39" s="10"/>
      <c r="J39" s="10"/>
      <c r="K39" s="10"/>
      <c r="L39" s="10"/>
      <c r="M39" s="10"/>
      <c r="N39" s="10"/>
    </row>
    <row r="40" customFormat="false" ht="23.85" hidden="false" customHeight="false" outlineLevel="0" collapsed="false">
      <c r="A40" s="9" t="s">
        <v>227</v>
      </c>
      <c r="B40" s="9" t="s">
        <v>228</v>
      </c>
      <c r="C40" s="9" t="s">
        <v>229</v>
      </c>
      <c r="D40" s="9" t="s">
        <v>128</v>
      </c>
      <c r="E40" s="9" t="s">
        <v>143</v>
      </c>
      <c r="F40" s="9" t="s">
        <v>130</v>
      </c>
      <c r="G40" s="9" t="s">
        <v>131</v>
      </c>
      <c r="H40" s="9" t="s">
        <v>145</v>
      </c>
      <c r="I40" s="10"/>
      <c r="J40" s="10"/>
      <c r="K40" s="10"/>
      <c r="L40" s="10"/>
      <c r="M40" s="10"/>
      <c r="N40" s="10"/>
    </row>
    <row r="41" customFormat="false" ht="23.85" hidden="false" customHeight="false" outlineLevel="0" collapsed="false">
      <c r="A41" s="9" t="s">
        <v>230</v>
      </c>
      <c r="B41" s="9" t="s">
        <v>228</v>
      </c>
      <c r="C41" s="9" t="s">
        <v>231</v>
      </c>
      <c r="D41" s="9" t="s">
        <v>128</v>
      </c>
      <c r="E41" s="9" t="s">
        <v>129</v>
      </c>
      <c r="F41" s="9" t="s">
        <v>130</v>
      </c>
      <c r="G41" s="9" t="s">
        <v>131</v>
      </c>
      <c r="H41" s="9" t="s">
        <v>140</v>
      </c>
      <c r="I41" s="10"/>
      <c r="J41" s="10"/>
      <c r="K41" s="10"/>
      <c r="L41" s="10"/>
      <c r="M41" s="10"/>
      <c r="N41" s="10"/>
    </row>
    <row r="42" customFormat="false" ht="23.85" hidden="false" customHeight="false" outlineLevel="0" collapsed="false">
      <c r="A42" s="9" t="s">
        <v>232</v>
      </c>
      <c r="B42" s="9" t="s">
        <v>233</v>
      </c>
      <c r="C42" s="9" t="s">
        <v>234</v>
      </c>
      <c r="D42" s="9" t="s">
        <v>128</v>
      </c>
      <c r="E42" s="9" t="s">
        <v>129</v>
      </c>
      <c r="F42" s="9" t="s">
        <v>130</v>
      </c>
      <c r="G42" s="9" t="s">
        <v>131</v>
      </c>
      <c r="H42" s="9" t="s">
        <v>140</v>
      </c>
      <c r="I42" s="10"/>
      <c r="J42" s="10"/>
      <c r="K42" s="10"/>
      <c r="L42" s="10"/>
      <c r="M42" s="10"/>
      <c r="N42" s="10"/>
    </row>
    <row r="43" customFormat="false" ht="23.85" hidden="false" customHeight="false" outlineLevel="0" collapsed="false">
      <c r="A43" s="9" t="s">
        <v>235</v>
      </c>
      <c r="B43" s="9" t="s">
        <v>233</v>
      </c>
      <c r="C43" s="9" t="s">
        <v>236</v>
      </c>
      <c r="D43" s="9" t="s">
        <v>128</v>
      </c>
      <c r="E43" s="9" t="s">
        <v>237</v>
      </c>
      <c r="F43" s="9" t="s">
        <v>130</v>
      </c>
      <c r="G43" s="9" t="s">
        <v>131</v>
      </c>
      <c r="H43" s="9" t="s">
        <v>140</v>
      </c>
      <c r="I43" s="10"/>
      <c r="J43" s="10"/>
      <c r="K43" s="10"/>
      <c r="L43" s="10"/>
      <c r="M43" s="10"/>
      <c r="N43" s="10"/>
    </row>
    <row r="44" customFormat="false" ht="23.85" hidden="false" customHeight="false" outlineLevel="0" collapsed="false">
      <c r="A44" s="9" t="s">
        <v>238</v>
      </c>
      <c r="B44" s="9" t="s">
        <v>239</v>
      </c>
      <c r="C44" s="9" t="s">
        <v>240</v>
      </c>
      <c r="D44" s="9" t="s">
        <v>128</v>
      </c>
      <c r="E44" s="9" t="s">
        <v>143</v>
      </c>
      <c r="F44" s="9" t="s">
        <v>130</v>
      </c>
      <c r="G44" s="9" t="s">
        <v>131</v>
      </c>
      <c r="H44" s="9" t="s">
        <v>140</v>
      </c>
      <c r="I44" s="10"/>
      <c r="J44" s="10"/>
      <c r="K44" s="10"/>
      <c r="L44" s="10"/>
      <c r="M44" s="10"/>
      <c r="N44" s="10"/>
    </row>
    <row r="45" customFormat="false" ht="23.85" hidden="false" customHeight="false" outlineLevel="0" collapsed="false">
      <c r="A45" s="9" t="s">
        <v>241</v>
      </c>
      <c r="B45" s="9" t="s">
        <v>239</v>
      </c>
      <c r="C45" s="9" t="s">
        <v>242</v>
      </c>
      <c r="D45" s="9" t="s">
        <v>128</v>
      </c>
      <c r="E45" s="9" t="s">
        <v>143</v>
      </c>
      <c r="F45" s="9" t="s">
        <v>130</v>
      </c>
      <c r="G45" s="9" t="s">
        <v>131</v>
      </c>
      <c r="H45" s="9" t="s">
        <v>140</v>
      </c>
      <c r="I45" s="10"/>
      <c r="J45" s="10"/>
      <c r="K45" s="10"/>
      <c r="L45" s="10"/>
      <c r="M45" s="10"/>
      <c r="N45" s="10"/>
    </row>
    <row r="46" customFormat="false" ht="23.85" hidden="false" customHeight="false" outlineLevel="0" collapsed="false">
      <c r="A46" s="9" t="s">
        <v>243</v>
      </c>
      <c r="B46" s="9" t="s">
        <v>239</v>
      </c>
      <c r="C46" s="9" t="s">
        <v>244</v>
      </c>
      <c r="D46" s="9" t="s">
        <v>128</v>
      </c>
      <c r="E46" s="9" t="s">
        <v>183</v>
      </c>
      <c r="F46" s="9" t="s">
        <v>130</v>
      </c>
      <c r="G46" s="9" t="s">
        <v>131</v>
      </c>
      <c r="H46" s="9" t="s">
        <v>140</v>
      </c>
      <c r="I46" s="10"/>
      <c r="J46" s="10"/>
      <c r="K46" s="10"/>
      <c r="L46" s="10"/>
      <c r="M46" s="10"/>
      <c r="N46" s="10"/>
    </row>
    <row r="47" customFormat="false" ht="23.85" hidden="false" customHeight="false" outlineLevel="0" collapsed="false">
      <c r="A47" s="9" t="s">
        <v>245</v>
      </c>
      <c r="B47" s="9" t="s">
        <v>239</v>
      </c>
      <c r="C47" s="9" t="s">
        <v>246</v>
      </c>
      <c r="D47" s="9" t="s">
        <v>128</v>
      </c>
      <c r="E47" s="9" t="s">
        <v>143</v>
      </c>
      <c r="F47" s="9" t="s">
        <v>154</v>
      </c>
      <c r="G47" s="9" t="s">
        <v>131</v>
      </c>
      <c r="H47" s="9" t="s">
        <v>140</v>
      </c>
      <c r="I47" s="10"/>
      <c r="J47" s="10"/>
      <c r="K47" s="10"/>
      <c r="L47" s="10"/>
      <c r="M47" s="10"/>
      <c r="N47" s="10"/>
    </row>
    <row r="48" customFormat="false" ht="23.85" hidden="false" customHeight="false" outlineLevel="0" collapsed="false">
      <c r="A48" s="9" t="s">
        <v>247</v>
      </c>
      <c r="B48" s="9" t="s">
        <v>239</v>
      </c>
      <c r="C48" s="9" t="s">
        <v>248</v>
      </c>
      <c r="D48" s="9" t="s">
        <v>128</v>
      </c>
      <c r="E48" s="9" t="s">
        <v>249</v>
      </c>
      <c r="F48" s="9" t="s">
        <v>154</v>
      </c>
      <c r="G48" s="9" t="s">
        <v>131</v>
      </c>
      <c r="H48" s="9" t="s">
        <v>140</v>
      </c>
      <c r="I48" s="10"/>
      <c r="J48" s="10"/>
      <c r="K48" s="10"/>
      <c r="L48" s="10"/>
      <c r="M48" s="10"/>
      <c r="N48" s="10"/>
    </row>
    <row r="49" customFormat="false" ht="23.85" hidden="false" customHeight="false" outlineLevel="0" collapsed="false">
      <c r="A49" s="9" t="s">
        <v>250</v>
      </c>
      <c r="B49" s="9" t="s">
        <v>251</v>
      </c>
      <c r="C49" s="9" t="s">
        <v>252</v>
      </c>
      <c r="D49" s="9" t="s">
        <v>128</v>
      </c>
      <c r="E49" s="9" t="s">
        <v>143</v>
      </c>
      <c r="F49" s="9" t="s">
        <v>144</v>
      </c>
      <c r="G49" s="9" t="s">
        <v>131</v>
      </c>
      <c r="H49" s="9" t="s">
        <v>145</v>
      </c>
      <c r="I49" s="10"/>
      <c r="J49" s="10"/>
      <c r="K49" s="10"/>
      <c r="L49" s="10"/>
      <c r="M49" s="10"/>
      <c r="N49" s="10"/>
    </row>
    <row r="50" customFormat="false" ht="23.85" hidden="false" customHeight="false" outlineLevel="0" collapsed="false">
      <c r="A50" s="9" t="s">
        <v>253</v>
      </c>
      <c r="B50" s="9" t="s">
        <v>254</v>
      </c>
      <c r="C50" s="9" t="s">
        <v>255</v>
      </c>
      <c r="D50" s="9" t="s">
        <v>128</v>
      </c>
      <c r="E50" s="9" t="s">
        <v>143</v>
      </c>
      <c r="F50" s="9" t="s">
        <v>130</v>
      </c>
      <c r="G50" s="9" t="s">
        <v>131</v>
      </c>
      <c r="H50" s="9" t="s">
        <v>140</v>
      </c>
      <c r="I50" s="10"/>
      <c r="J50" s="10"/>
      <c r="K50" s="10"/>
      <c r="L50" s="10"/>
      <c r="M50" s="10"/>
      <c r="N50" s="10"/>
    </row>
    <row r="51" customFormat="false" ht="23.85" hidden="false" customHeight="false" outlineLevel="0" collapsed="false">
      <c r="A51" s="9" t="s">
        <v>256</v>
      </c>
      <c r="B51" s="9" t="s">
        <v>257</v>
      </c>
      <c r="C51" s="9" t="s">
        <v>258</v>
      </c>
      <c r="D51" s="9" t="s">
        <v>128</v>
      </c>
      <c r="E51" s="9" t="s">
        <v>129</v>
      </c>
      <c r="F51" s="9" t="s">
        <v>130</v>
      </c>
      <c r="G51" s="9" t="s">
        <v>131</v>
      </c>
      <c r="H51" s="9" t="s">
        <v>140</v>
      </c>
      <c r="I51" s="10"/>
      <c r="J51" s="10"/>
      <c r="K51" s="10"/>
      <c r="L51" s="10"/>
      <c r="M51" s="10"/>
      <c r="N51" s="10"/>
    </row>
    <row r="52" customFormat="false" ht="23.85" hidden="false" customHeight="false" outlineLevel="0" collapsed="false">
      <c r="A52" s="9" t="s">
        <v>259</v>
      </c>
      <c r="B52" s="9" t="s">
        <v>260</v>
      </c>
      <c r="C52" s="9" t="s">
        <v>261</v>
      </c>
      <c r="D52" s="9" t="s">
        <v>128</v>
      </c>
      <c r="E52" s="9" t="s">
        <v>129</v>
      </c>
      <c r="F52" s="9" t="s">
        <v>130</v>
      </c>
      <c r="G52" s="9" t="s">
        <v>131</v>
      </c>
      <c r="H52" s="9" t="s">
        <v>140</v>
      </c>
      <c r="I52" s="10"/>
      <c r="J52" s="10"/>
      <c r="K52" s="10"/>
      <c r="L52" s="10"/>
      <c r="M52" s="10"/>
      <c r="N52" s="10"/>
    </row>
    <row r="53" customFormat="false" ht="23.85" hidden="false" customHeight="false" outlineLevel="0" collapsed="false">
      <c r="A53" s="9" t="s">
        <v>262</v>
      </c>
      <c r="B53" s="9" t="s">
        <v>263</v>
      </c>
      <c r="C53" s="9" t="s">
        <v>264</v>
      </c>
      <c r="D53" s="9" t="s">
        <v>128</v>
      </c>
      <c r="E53" s="9" t="s">
        <v>129</v>
      </c>
      <c r="F53" s="9" t="s">
        <v>130</v>
      </c>
      <c r="G53" s="9" t="s">
        <v>131</v>
      </c>
      <c r="H53" s="9" t="s">
        <v>140</v>
      </c>
      <c r="I53" s="10"/>
      <c r="J53" s="10"/>
      <c r="K53" s="10"/>
      <c r="L53" s="10"/>
      <c r="M53" s="10"/>
      <c r="N53" s="10"/>
    </row>
    <row r="54" customFormat="false" ht="23.85" hidden="false" customHeight="false" outlineLevel="0" collapsed="false">
      <c r="A54" s="9" t="s">
        <v>265</v>
      </c>
      <c r="B54" s="9" t="s">
        <v>263</v>
      </c>
      <c r="C54" s="9" t="s">
        <v>67</v>
      </c>
      <c r="D54" s="9" t="s">
        <v>128</v>
      </c>
      <c r="E54" s="9" t="s">
        <v>129</v>
      </c>
      <c r="F54" s="9" t="s">
        <v>154</v>
      </c>
      <c r="G54" s="9" t="s">
        <v>131</v>
      </c>
      <c r="H54" s="9" t="s">
        <v>140</v>
      </c>
      <c r="I54" s="10"/>
      <c r="J54" s="10"/>
      <c r="K54" s="10"/>
      <c r="L54" s="10"/>
      <c r="M54" s="10"/>
      <c r="N54" s="10"/>
    </row>
    <row r="55" customFormat="false" ht="23.85" hidden="false" customHeight="false" outlineLevel="0" collapsed="false">
      <c r="A55" s="9" t="s">
        <v>266</v>
      </c>
      <c r="B55" s="9" t="s">
        <v>263</v>
      </c>
      <c r="C55" s="9" t="s">
        <v>267</v>
      </c>
      <c r="D55" s="9" t="s">
        <v>128</v>
      </c>
      <c r="E55" s="9" t="s">
        <v>129</v>
      </c>
      <c r="F55" s="9" t="s">
        <v>154</v>
      </c>
      <c r="G55" s="9" t="s">
        <v>131</v>
      </c>
      <c r="H55" s="9" t="s">
        <v>140</v>
      </c>
      <c r="I55" s="10"/>
      <c r="J55" s="10"/>
      <c r="K55" s="10"/>
      <c r="L55" s="10"/>
      <c r="M55" s="10"/>
      <c r="N55" s="10"/>
    </row>
    <row r="56" customFormat="false" ht="23.85" hidden="false" customHeight="false" outlineLevel="0" collapsed="false">
      <c r="A56" s="9" t="s">
        <v>268</v>
      </c>
      <c r="B56" s="9" t="s">
        <v>263</v>
      </c>
      <c r="C56" s="9" t="s">
        <v>269</v>
      </c>
      <c r="D56" s="9" t="s">
        <v>128</v>
      </c>
      <c r="E56" s="9" t="s">
        <v>143</v>
      </c>
      <c r="F56" s="9" t="s">
        <v>151</v>
      </c>
      <c r="G56" s="9" t="s">
        <v>131</v>
      </c>
      <c r="H56" s="9" t="s">
        <v>145</v>
      </c>
      <c r="I56" s="10"/>
      <c r="J56" s="10"/>
      <c r="K56" s="10"/>
      <c r="L56" s="10"/>
      <c r="M56" s="10"/>
      <c r="N56" s="10"/>
    </row>
    <row r="57" customFormat="false" ht="23.85" hidden="false" customHeight="false" outlineLevel="0" collapsed="false">
      <c r="A57" s="9" t="s">
        <v>270</v>
      </c>
      <c r="B57" s="9" t="s">
        <v>271</v>
      </c>
      <c r="C57" s="9" t="s">
        <v>272</v>
      </c>
      <c r="D57" s="9" t="s">
        <v>128</v>
      </c>
      <c r="E57" s="9" t="s">
        <v>273</v>
      </c>
      <c r="F57" s="9" t="s">
        <v>130</v>
      </c>
      <c r="G57" s="9" t="s">
        <v>131</v>
      </c>
      <c r="H57" s="9" t="s">
        <v>274</v>
      </c>
      <c r="I57" s="10"/>
      <c r="J57" s="10"/>
      <c r="K57" s="10"/>
      <c r="L57" s="10"/>
      <c r="M57" s="10"/>
      <c r="N57" s="10"/>
    </row>
    <row r="58" customFormat="false" ht="23.85" hidden="false" customHeight="false" outlineLevel="0" collapsed="false">
      <c r="A58" s="9" t="s">
        <v>275</v>
      </c>
      <c r="B58" s="9" t="s">
        <v>271</v>
      </c>
      <c r="C58" s="9" t="s">
        <v>276</v>
      </c>
      <c r="D58" s="9" t="s">
        <v>128</v>
      </c>
      <c r="E58" s="9" t="s">
        <v>143</v>
      </c>
      <c r="F58" s="9" t="s">
        <v>154</v>
      </c>
      <c r="G58" s="9" t="s">
        <v>131</v>
      </c>
      <c r="H58" s="9" t="s">
        <v>140</v>
      </c>
      <c r="I58" s="10"/>
      <c r="J58" s="10"/>
      <c r="K58" s="10"/>
      <c r="L58" s="10"/>
      <c r="M58" s="10"/>
      <c r="N58" s="10"/>
    </row>
    <row r="59" customFormat="false" ht="23.85" hidden="false" customHeight="false" outlineLevel="0" collapsed="false">
      <c r="A59" s="9" t="s">
        <v>277</v>
      </c>
      <c r="B59" s="9" t="s">
        <v>271</v>
      </c>
      <c r="C59" s="9" t="s">
        <v>278</v>
      </c>
      <c r="D59" s="9" t="s">
        <v>128</v>
      </c>
      <c r="E59" s="9" t="s">
        <v>129</v>
      </c>
      <c r="F59" s="9" t="s">
        <v>154</v>
      </c>
      <c r="G59" s="9" t="s">
        <v>131</v>
      </c>
      <c r="H59" s="9" t="s">
        <v>140</v>
      </c>
      <c r="I59" s="10"/>
      <c r="J59" s="10"/>
      <c r="K59" s="10"/>
      <c r="L59" s="10"/>
      <c r="M59" s="10"/>
      <c r="N59" s="10"/>
    </row>
    <row r="60" customFormat="false" ht="23.85" hidden="false" customHeight="false" outlineLevel="0" collapsed="false">
      <c r="A60" s="9" t="s">
        <v>279</v>
      </c>
      <c r="B60" s="9" t="s">
        <v>271</v>
      </c>
      <c r="C60" s="9" t="s">
        <v>280</v>
      </c>
      <c r="D60" s="9" t="s">
        <v>128</v>
      </c>
      <c r="E60" s="9" t="s">
        <v>226</v>
      </c>
      <c r="F60" s="9" t="s">
        <v>154</v>
      </c>
      <c r="G60" s="9" t="s">
        <v>131</v>
      </c>
      <c r="H60" s="9" t="s">
        <v>140</v>
      </c>
      <c r="I60" s="10"/>
      <c r="J60" s="10"/>
      <c r="K60" s="10"/>
      <c r="L60" s="10"/>
      <c r="M60" s="10"/>
      <c r="N60" s="10"/>
    </row>
    <row r="61" customFormat="false" ht="23.85" hidden="false" customHeight="false" outlineLevel="0" collapsed="false">
      <c r="A61" s="9" t="s">
        <v>281</v>
      </c>
      <c r="B61" s="9" t="s">
        <v>271</v>
      </c>
      <c r="C61" s="9" t="s">
        <v>282</v>
      </c>
      <c r="D61" s="9" t="s">
        <v>128</v>
      </c>
      <c r="E61" s="9" t="s">
        <v>226</v>
      </c>
      <c r="F61" s="9" t="s">
        <v>154</v>
      </c>
      <c r="G61" s="9" t="s">
        <v>131</v>
      </c>
      <c r="H61" s="9" t="s">
        <v>140</v>
      </c>
      <c r="I61" s="10"/>
      <c r="J61" s="10"/>
      <c r="K61" s="10"/>
      <c r="L61" s="10"/>
      <c r="M61" s="10"/>
      <c r="N61" s="10"/>
    </row>
    <row r="62" customFormat="false" ht="23.85" hidden="false" customHeight="false" outlineLevel="0" collapsed="false">
      <c r="A62" s="9" t="s">
        <v>283</v>
      </c>
      <c r="B62" s="9" t="s">
        <v>284</v>
      </c>
      <c r="C62" s="9" t="s">
        <v>285</v>
      </c>
      <c r="D62" s="9" t="s">
        <v>128</v>
      </c>
      <c r="E62" s="9" t="s">
        <v>143</v>
      </c>
      <c r="F62" s="9" t="s">
        <v>154</v>
      </c>
      <c r="G62" s="9" t="s">
        <v>131</v>
      </c>
      <c r="H62" s="9" t="s">
        <v>140</v>
      </c>
      <c r="I62" s="10"/>
      <c r="J62" s="10"/>
      <c r="K62" s="10"/>
      <c r="L62" s="10"/>
      <c r="M62" s="10"/>
      <c r="N62" s="10"/>
    </row>
    <row r="63" customFormat="false" ht="23.85" hidden="false" customHeight="false" outlineLevel="0" collapsed="false">
      <c r="A63" s="9" t="s">
        <v>286</v>
      </c>
      <c r="B63" s="9" t="s">
        <v>284</v>
      </c>
      <c r="C63" s="9" t="s">
        <v>287</v>
      </c>
      <c r="D63" s="9" t="s">
        <v>128</v>
      </c>
      <c r="E63" s="9" t="s">
        <v>143</v>
      </c>
      <c r="F63" s="9" t="s">
        <v>154</v>
      </c>
      <c r="G63" s="9" t="s">
        <v>131</v>
      </c>
      <c r="H63" s="9" t="s">
        <v>140</v>
      </c>
      <c r="I63" s="10"/>
      <c r="J63" s="10"/>
      <c r="K63" s="10"/>
      <c r="L63" s="10"/>
      <c r="M63" s="10"/>
      <c r="N63" s="10"/>
    </row>
    <row r="64" customFormat="false" ht="23.85" hidden="false" customHeight="false" outlineLevel="0" collapsed="false">
      <c r="A64" s="9" t="s">
        <v>288</v>
      </c>
      <c r="B64" s="9" t="s">
        <v>284</v>
      </c>
      <c r="C64" s="9" t="s">
        <v>289</v>
      </c>
      <c r="D64" s="9" t="s">
        <v>128</v>
      </c>
      <c r="E64" s="9" t="s">
        <v>129</v>
      </c>
      <c r="F64" s="9" t="s">
        <v>154</v>
      </c>
      <c r="G64" s="9" t="s">
        <v>131</v>
      </c>
      <c r="H64" s="9" t="s">
        <v>140</v>
      </c>
      <c r="I64" s="10"/>
      <c r="J64" s="10"/>
      <c r="K64" s="10"/>
      <c r="L64" s="10"/>
      <c r="M64" s="10"/>
      <c r="N64" s="10"/>
    </row>
    <row r="65" customFormat="false" ht="23.85" hidden="false" customHeight="false" outlineLevel="0" collapsed="false">
      <c r="A65" s="9" t="s">
        <v>290</v>
      </c>
      <c r="B65" s="9" t="s">
        <v>284</v>
      </c>
      <c r="C65" s="9" t="s">
        <v>291</v>
      </c>
      <c r="D65" s="9" t="s">
        <v>128</v>
      </c>
      <c r="E65" s="9" t="s">
        <v>129</v>
      </c>
      <c r="F65" s="9" t="s">
        <v>154</v>
      </c>
      <c r="G65" s="9" t="s">
        <v>131</v>
      </c>
      <c r="H65" s="9" t="s">
        <v>140</v>
      </c>
      <c r="I65" s="10"/>
      <c r="J65" s="10"/>
      <c r="K65" s="10"/>
      <c r="L65" s="10"/>
      <c r="M65" s="10"/>
      <c r="N65" s="10"/>
    </row>
    <row r="66" customFormat="false" ht="35.05" hidden="false" customHeight="false" outlineLevel="0" collapsed="false">
      <c r="A66" s="9" t="s">
        <v>292</v>
      </c>
      <c r="B66" s="9" t="s">
        <v>293</v>
      </c>
      <c r="C66" s="9" t="s">
        <v>294</v>
      </c>
      <c r="D66" s="9" t="s">
        <v>128</v>
      </c>
      <c r="E66" s="9" t="s">
        <v>183</v>
      </c>
      <c r="F66" s="9" t="s">
        <v>130</v>
      </c>
      <c r="G66" s="9" t="s">
        <v>131</v>
      </c>
      <c r="H66" s="9" t="s">
        <v>140</v>
      </c>
      <c r="I66" s="10"/>
      <c r="J66" s="10"/>
      <c r="K66" s="10"/>
      <c r="L66" s="10"/>
      <c r="M66" s="10"/>
      <c r="N66" s="10"/>
    </row>
    <row r="67" customFormat="false" ht="35.05" hidden="false" customHeight="false" outlineLevel="0" collapsed="false">
      <c r="A67" s="9" t="s">
        <v>295</v>
      </c>
      <c r="B67" s="9" t="s">
        <v>293</v>
      </c>
      <c r="C67" s="9" t="s">
        <v>296</v>
      </c>
      <c r="D67" s="9" t="s">
        <v>128</v>
      </c>
      <c r="E67" s="9" t="s">
        <v>183</v>
      </c>
      <c r="F67" s="9" t="s">
        <v>130</v>
      </c>
      <c r="G67" s="9" t="s">
        <v>131</v>
      </c>
      <c r="H67" s="9" t="s">
        <v>140</v>
      </c>
      <c r="I67" s="10"/>
      <c r="J67" s="10"/>
      <c r="K67" s="10"/>
      <c r="L67" s="10"/>
      <c r="M67" s="10"/>
      <c r="N67" s="10"/>
    </row>
    <row r="68" customFormat="false" ht="35.05" hidden="false" customHeight="false" outlineLevel="0" collapsed="false">
      <c r="A68" s="9" t="s">
        <v>297</v>
      </c>
      <c r="B68" s="9" t="s">
        <v>293</v>
      </c>
      <c r="C68" s="9" t="s">
        <v>298</v>
      </c>
      <c r="D68" s="9" t="s">
        <v>128</v>
      </c>
      <c r="E68" s="9" t="s">
        <v>143</v>
      </c>
      <c r="F68" s="9" t="s">
        <v>130</v>
      </c>
      <c r="G68" s="9" t="s">
        <v>131</v>
      </c>
      <c r="H68" s="9" t="s">
        <v>140</v>
      </c>
      <c r="I68" s="10"/>
      <c r="J68" s="10"/>
      <c r="K68" s="10"/>
      <c r="L68" s="10"/>
      <c r="M68" s="10"/>
      <c r="N68" s="10"/>
    </row>
    <row r="69" customFormat="false" ht="35.05" hidden="false" customHeight="false" outlineLevel="0" collapsed="false">
      <c r="A69" s="9" t="s">
        <v>299</v>
      </c>
      <c r="B69" s="9" t="s">
        <v>293</v>
      </c>
      <c r="C69" s="9" t="s">
        <v>300</v>
      </c>
      <c r="D69" s="9" t="s">
        <v>128</v>
      </c>
      <c r="E69" s="9" t="s">
        <v>143</v>
      </c>
      <c r="F69" s="9" t="s">
        <v>130</v>
      </c>
      <c r="G69" s="9" t="s">
        <v>131</v>
      </c>
      <c r="H69" s="9" t="s">
        <v>140</v>
      </c>
      <c r="I69" s="10"/>
      <c r="J69" s="10"/>
      <c r="K69" s="10"/>
      <c r="L69" s="10"/>
      <c r="M69" s="10"/>
      <c r="N69" s="10"/>
    </row>
    <row r="70" customFormat="false" ht="35.05" hidden="false" customHeight="false" outlineLevel="0" collapsed="false">
      <c r="A70" s="9" t="s">
        <v>301</v>
      </c>
      <c r="B70" s="9" t="s">
        <v>293</v>
      </c>
      <c r="C70" s="9" t="s">
        <v>302</v>
      </c>
      <c r="D70" s="9" t="s">
        <v>128</v>
      </c>
      <c r="E70" s="9" t="s">
        <v>183</v>
      </c>
      <c r="F70" s="9" t="s">
        <v>130</v>
      </c>
      <c r="G70" s="9" t="s">
        <v>131</v>
      </c>
      <c r="H70" s="9" t="s">
        <v>140</v>
      </c>
      <c r="I70" s="10"/>
      <c r="J70" s="10"/>
      <c r="K70" s="10"/>
      <c r="L70" s="10"/>
      <c r="M70" s="10"/>
      <c r="N70" s="10"/>
    </row>
    <row r="71" customFormat="false" ht="35.05" hidden="false" customHeight="false" outlineLevel="0" collapsed="false">
      <c r="A71" s="9" t="s">
        <v>303</v>
      </c>
      <c r="B71" s="9" t="s">
        <v>293</v>
      </c>
      <c r="C71" s="9" t="s">
        <v>304</v>
      </c>
      <c r="D71" s="9" t="s">
        <v>128</v>
      </c>
      <c r="E71" s="9" t="s">
        <v>143</v>
      </c>
      <c r="F71" s="9" t="s">
        <v>130</v>
      </c>
      <c r="G71" s="9" t="s">
        <v>131</v>
      </c>
      <c r="H71" s="9" t="s">
        <v>140</v>
      </c>
      <c r="I71" s="10"/>
      <c r="J71" s="10"/>
      <c r="K71" s="10"/>
      <c r="L71" s="10"/>
      <c r="M71" s="10"/>
      <c r="N71" s="10"/>
    </row>
    <row r="72" customFormat="false" ht="35.05" hidden="false" customHeight="false" outlineLevel="0" collapsed="false">
      <c r="A72" s="9" t="s">
        <v>305</v>
      </c>
      <c r="B72" s="9" t="s">
        <v>293</v>
      </c>
      <c r="C72" s="9" t="s">
        <v>306</v>
      </c>
      <c r="D72" s="9" t="s">
        <v>128</v>
      </c>
      <c r="E72" s="9" t="s">
        <v>143</v>
      </c>
      <c r="F72" s="9" t="s">
        <v>154</v>
      </c>
      <c r="G72" s="9" t="s">
        <v>131</v>
      </c>
      <c r="H72" s="9" t="s">
        <v>140</v>
      </c>
      <c r="I72" s="10"/>
      <c r="J72" s="10"/>
      <c r="K72" s="10"/>
      <c r="L72" s="10"/>
      <c r="M72" s="10"/>
      <c r="N72" s="10"/>
    </row>
    <row r="73" customFormat="false" ht="35.05" hidden="false" customHeight="false" outlineLevel="0" collapsed="false">
      <c r="A73" s="9" t="s">
        <v>307</v>
      </c>
      <c r="B73" s="9" t="s">
        <v>293</v>
      </c>
      <c r="C73" s="9" t="s">
        <v>308</v>
      </c>
      <c r="D73" s="9" t="s">
        <v>128</v>
      </c>
      <c r="E73" s="9" t="s">
        <v>143</v>
      </c>
      <c r="F73" s="9" t="s">
        <v>130</v>
      </c>
      <c r="G73" s="9" t="s">
        <v>131</v>
      </c>
      <c r="H73" s="9" t="s">
        <v>140</v>
      </c>
      <c r="I73" s="10"/>
      <c r="J73" s="10"/>
      <c r="K73" s="10"/>
      <c r="L73" s="10"/>
      <c r="M73" s="10"/>
      <c r="N73" s="10"/>
    </row>
    <row r="74" customFormat="false" ht="35.05" hidden="false" customHeight="false" outlineLevel="0" collapsed="false">
      <c r="A74" s="9" t="s">
        <v>309</v>
      </c>
      <c r="B74" s="9" t="s">
        <v>293</v>
      </c>
      <c r="C74" s="9" t="s">
        <v>310</v>
      </c>
      <c r="D74" s="9" t="s">
        <v>128</v>
      </c>
      <c r="E74" s="9" t="s">
        <v>143</v>
      </c>
      <c r="F74" s="9" t="s">
        <v>154</v>
      </c>
      <c r="G74" s="9" t="s">
        <v>131</v>
      </c>
      <c r="H74" s="9" t="s">
        <v>140</v>
      </c>
      <c r="I74" s="10"/>
      <c r="J74" s="10"/>
      <c r="K74" s="10"/>
      <c r="L74" s="10"/>
      <c r="M74" s="10"/>
      <c r="N74" s="10"/>
    </row>
    <row r="75" customFormat="false" ht="35.05" hidden="false" customHeight="false" outlineLevel="0" collapsed="false">
      <c r="A75" s="9" t="s">
        <v>311</v>
      </c>
      <c r="B75" s="9" t="s">
        <v>293</v>
      </c>
      <c r="C75" s="9" t="s">
        <v>312</v>
      </c>
      <c r="D75" s="9" t="s">
        <v>128</v>
      </c>
      <c r="E75" s="9" t="s">
        <v>143</v>
      </c>
      <c r="F75" s="9" t="s">
        <v>130</v>
      </c>
      <c r="G75" s="9" t="s">
        <v>131</v>
      </c>
      <c r="H75" s="9" t="s">
        <v>140</v>
      </c>
      <c r="I75" s="10"/>
      <c r="J75" s="10"/>
      <c r="K75" s="10"/>
      <c r="L75" s="10"/>
      <c r="M75" s="10"/>
      <c r="N75" s="10"/>
    </row>
    <row r="76" customFormat="false" ht="23.85" hidden="false" customHeight="false" outlineLevel="0" collapsed="false">
      <c r="A76" s="9" t="s">
        <v>313</v>
      </c>
      <c r="B76" s="9" t="s">
        <v>314</v>
      </c>
      <c r="C76" s="9" t="s">
        <v>315</v>
      </c>
      <c r="D76" s="9" t="s">
        <v>128</v>
      </c>
      <c r="E76" s="9" t="s">
        <v>143</v>
      </c>
      <c r="F76" s="9" t="s">
        <v>130</v>
      </c>
      <c r="G76" s="9" t="s">
        <v>131</v>
      </c>
      <c r="H76" s="9" t="s">
        <v>145</v>
      </c>
      <c r="I76" s="10"/>
      <c r="J76" s="10"/>
      <c r="K76" s="10"/>
      <c r="L76" s="10"/>
      <c r="M76" s="10"/>
      <c r="N76" s="10"/>
    </row>
    <row r="77" customFormat="false" ht="23.85" hidden="false" customHeight="false" outlineLevel="0" collapsed="false">
      <c r="A77" s="9" t="s">
        <v>316</v>
      </c>
      <c r="B77" s="9" t="s">
        <v>314</v>
      </c>
      <c r="C77" s="9" t="s">
        <v>317</v>
      </c>
      <c r="D77" s="9" t="s">
        <v>128</v>
      </c>
      <c r="E77" s="9" t="s">
        <v>143</v>
      </c>
      <c r="F77" s="9" t="s">
        <v>130</v>
      </c>
      <c r="G77" s="9" t="s">
        <v>131</v>
      </c>
      <c r="H77" s="9" t="s">
        <v>145</v>
      </c>
      <c r="I77" s="10"/>
      <c r="J77" s="10"/>
      <c r="K77" s="10"/>
      <c r="L77" s="10"/>
      <c r="M77" s="10"/>
      <c r="N77" s="10"/>
    </row>
    <row r="78" customFormat="false" ht="23.85" hidden="false" customHeight="false" outlineLevel="0" collapsed="false">
      <c r="A78" s="9" t="s">
        <v>318</v>
      </c>
      <c r="B78" s="9" t="s">
        <v>314</v>
      </c>
      <c r="C78" s="9" t="s">
        <v>319</v>
      </c>
      <c r="D78" s="9" t="s">
        <v>128</v>
      </c>
      <c r="E78" s="9" t="s">
        <v>129</v>
      </c>
      <c r="F78" s="9" t="s">
        <v>130</v>
      </c>
      <c r="G78" s="9" t="s">
        <v>131</v>
      </c>
      <c r="H78" s="9" t="s">
        <v>140</v>
      </c>
      <c r="I78" s="10"/>
      <c r="J78" s="10"/>
      <c r="K78" s="10"/>
      <c r="L78" s="10"/>
      <c r="M78" s="10"/>
      <c r="N78" s="10"/>
    </row>
    <row r="79" customFormat="false" ht="23.85" hidden="false" customHeight="false" outlineLevel="0" collapsed="false">
      <c r="A79" s="9" t="s">
        <v>320</v>
      </c>
      <c r="B79" s="9" t="s">
        <v>314</v>
      </c>
      <c r="C79" s="9" t="s">
        <v>321</v>
      </c>
      <c r="D79" s="9" t="s">
        <v>128</v>
      </c>
      <c r="E79" s="9" t="s">
        <v>237</v>
      </c>
      <c r="F79" s="9" t="s">
        <v>130</v>
      </c>
      <c r="G79" s="9" t="s">
        <v>131</v>
      </c>
      <c r="H79" s="9" t="s">
        <v>140</v>
      </c>
      <c r="I79" s="10"/>
      <c r="J79" s="10"/>
      <c r="K79" s="10"/>
      <c r="L79" s="10"/>
      <c r="M79" s="10"/>
      <c r="N79" s="10"/>
    </row>
    <row r="80" customFormat="false" ht="23.85" hidden="false" customHeight="false" outlineLevel="0" collapsed="false">
      <c r="A80" s="9" t="s">
        <v>322</v>
      </c>
      <c r="B80" s="9" t="s">
        <v>314</v>
      </c>
      <c r="C80" s="9" t="s">
        <v>323</v>
      </c>
      <c r="D80" s="9" t="s">
        <v>128</v>
      </c>
      <c r="E80" s="9" t="s">
        <v>129</v>
      </c>
      <c r="F80" s="9" t="s">
        <v>130</v>
      </c>
      <c r="G80" s="9" t="s">
        <v>131</v>
      </c>
      <c r="H80" s="9" t="s">
        <v>140</v>
      </c>
      <c r="I80" s="10"/>
      <c r="J80" s="10"/>
      <c r="K80" s="10"/>
      <c r="L80" s="10"/>
      <c r="M80" s="10"/>
      <c r="N80" s="10"/>
    </row>
    <row r="81" customFormat="false" ht="23.85" hidden="false" customHeight="false" outlineLevel="0" collapsed="false">
      <c r="A81" s="9" t="s">
        <v>324</v>
      </c>
      <c r="B81" s="9" t="s">
        <v>314</v>
      </c>
      <c r="C81" s="9" t="s">
        <v>325</v>
      </c>
      <c r="D81" s="9" t="s">
        <v>128</v>
      </c>
      <c r="E81" s="9" t="s">
        <v>249</v>
      </c>
      <c r="F81" s="9" t="s">
        <v>154</v>
      </c>
      <c r="G81" s="9" t="s">
        <v>131</v>
      </c>
      <c r="H81" s="9" t="s">
        <v>140</v>
      </c>
      <c r="I81" s="10"/>
      <c r="J81" s="10"/>
      <c r="K81" s="10"/>
      <c r="L81" s="10"/>
      <c r="M81" s="10"/>
      <c r="N81" s="10"/>
    </row>
    <row r="82" customFormat="false" ht="23.85" hidden="false" customHeight="false" outlineLevel="0" collapsed="false">
      <c r="A82" s="9" t="s">
        <v>326</v>
      </c>
      <c r="B82" s="9" t="s">
        <v>327</v>
      </c>
      <c r="C82" s="9" t="s">
        <v>328</v>
      </c>
      <c r="D82" s="9" t="s">
        <v>128</v>
      </c>
      <c r="E82" s="9" t="s">
        <v>129</v>
      </c>
      <c r="F82" s="9" t="s">
        <v>130</v>
      </c>
      <c r="G82" s="9" t="s">
        <v>131</v>
      </c>
      <c r="H82" s="9" t="s">
        <v>140</v>
      </c>
      <c r="I82" s="10"/>
      <c r="J82" s="10"/>
      <c r="K82" s="10"/>
      <c r="L82" s="10"/>
      <c r="M82" s="10"/>
      <c r="N82" s="10"/>
    </row>
    <row r="83" customFormat="false" ht="23.85" hidden="false" customHeight="false" outlineLevel="0" collapsed="false">
      <c r="A83" s="9" t="s">
        <v>329</v>
      </c>
      <c r="B83" s="9" t="s">
        <v>327</v>
      </c>
      <c r="C83" s="9" t="s">
        <v>330</v>
      </c>
      <c r="D83" s="9" t="s">
        <v>128</v>
      </c>
      <c r="E83" s="9" t="s">
        <v>143</v>
      </c>
      <c r="F83" s="9" t="s">
        <v>130</v>
      </c>
      <c r="G83" s="9" t="s">
        <v>131</v>
      </c>
      <c r="H83" s="9" t="s">
        <v>140</v>
      </c>
      <c r="I83" s="10"/>
      <c r="J83" s="10"/>
      <c r="K83" s="10"/>
      <c r="L83" s="10"/>
      <c r="M83" s="10"/>
      <c r="N83" s="10"/>
    </row>
    <row r="84" customFormat="false" ht="23.85" hidden="false" customHeight="false" outlineLevel="0" collapsed="false">
      <c r="A84" s="9" t="s">
        <v>331</v>
      </c>
      <c r="B84" s="9" t="s">
        <v>327</v>
      </c>
      <c r="C84" s="9" t="s">
        <v>332</v>
      </c>
      <c r="D84" s="9" t="s">
        <v>128</v>
      </c>
      <c r="E84" s="9" t="s">
        <v>143</v>
      </c>
      <c r="F84" s="9" t="s">
        <v>130</v>
      </c>
      <c r="G84" s="9" t="s">
        <v>131</v>
      </c>
      <c r="H84" s="9" t="s">
        <v>140</v>
      </c>
      <c r="I84" s="10"/>
      <c r="J84" s="10"/>
      <c r="K84" s="10"/>
      <c r="L84" s="10"/>
      <c r="M84" s="10"/>
      <c r="N84" s="10"/>
    </row>
    <row r="85" customFormat="false" ht="23.85" hidden="false" customHeight="false" outlineLevel="0" collapsed="false">
      <c r="A85" s="9" t="s">
        <v>333</v>
      </c>
      <c r="B85" s="9" t="s">
        <v>327</v>
      </c>
      <c r="C85" s="9" t="s">
        <v>334</v>
      </c>
      <c r="D85" s="9" t="s">
        <v>128</v>
      </c>
      <c r="E85" s="9" t="s">
        <v>143</v>
      </c>
      <c r="F85" s="9" t="s">
        <v>130</v>
      </c>
      <c r="G85" s="9" t="s">
        <v>131</v>
      </c>
      <c r="H85" s="9" t="s">
        <v>140</v>
      </c>
      <c r="I85" s="10"/>
      <c r="J85" s="10"/>
      <c r="K85" s="10"/>
      <c r="L85" s="10"/>
      <c r="M85" s="10"/>
      <c r="N85" s="10"/>
    </row>
    <row r="86" customFormat="false" ht="23.85" hidden="false" customHeight="false" outlineLevel="0" collapsed="false">
      <c r="A86" s="9" t="s">
        <v>335</v>
      </c>
      <c r="B86" s="9" t="s">
        <v>327</v>
      </c>
      <c r="C86" s="9" t="s">
        <v>336</v>
      </c>
      <c r="D86" s="9" t="s">
        <v>128</v>
      </c>
      <c r="E86" s="9" t="s">
        <v>183</v>
      </c>
      <c r="F86" s="9" t="s">
        <v>130</v>
      </c>
      <c r="G86" s="9" t="s">
        <v>131</v>
      </c>
      <c r="H86" s="9" t="s">
        <v>140</v>
      </c>
      <c r="I86" s="10"/>
      <c r="J86" s="10"/>
      <c r="K86" s="10"/>
      <c r="L86" s="10"/>
      <c r="M86" s="10"/>
      <c r="N86" s="10"/>
    </row>
    <row r="87" customFormat="false" ht="23.85" hidden="false" customHeight="false" outlineLevel="0" collapsed="false">
      <c r="A87" s="9" t="s">
        <v>337</v>
      </c>
      <c r="B87" s="9" t="s">
        <v>327</v>
      </c>
      <c r="C87" s="9" t="s">
        <v>338</v>
      </c>
      <c r="D87" s="9" t="s">
        <v>128</v>
      </c>
      <c r="E87" s="9" t="s">
        <v>237</v>
      </c>
      <c r="F87" s="9" t="s">
        <v>130</v>
      </c>
      <c r="G87" s="9" t="s">
        <v>131</v>
      </c>
      <c r="H87" s="9" t="s">
        <v>140</v>
      </c>
      <c r="I87" s="10"/>
      <c r="J87" s="10"/>
      <c r="K87" s="10"/>
      <c r="L87" s="10"/>
      <c r="M87" s="10"/>
      <c r="N87" s="10"/>
    </row>
    <row r="88" customFormat="false" ht="23.85" hidden="false" customHeight="false" outlineLevel="0" collapsed="false">
      <c r="A88" s="9" t="s">
        <v>339</v>
      </c>
      <c r="B88" s="9" t="s">
        <v>340</v>
      </c>
      <c r="C88" s="9" t="s">
        <v>341</v>
      </c>
      <c r="D88" s="9" t="s">
        <v>128</v>
      </c>
      <c r="E88" s="9" t="s">
        <v>129</v>
      </c>
      <c r="F88" s="9" t="s">
        <v>130</v>
      </c>
      <c r="G88" s="9" t="s">
        <v>131</v>
      </c>
      <c r="H88" s="9" t="s">
        <v>140</v>
      </c>
      <c r="I88" s="10"/>
      <c r="J88" s="10"/>
      <c r="K88" s="10"/>
      <c r="L88" s="10"/>
      <c r="M88" s="10"/>
      <c r="N88" s="10"/>
    </row>
    <row r="89" customFormat="false" ht="23.85" hidden="false" customHeight="false" outlineLevel="0" collapsed="false">
      <c r="A89" s="9" t="s">
        <v>342</v>
      </c>
      <c r="B89" s="9" t="s">
        <v>340</v>
      </c>
      <c r="C89" s="9" t="s">
        <v>343</v>
      </c>
      <c r="D89" s="9" t="s">
        <v>128</v>
      </c>
      <c r="E89" s="9" t="s">
        <v>183</v>
      </c>
      <c r="F89" s="9" t="s">
        <v>130</v>
      </c>
      <c r="G89" s="9" t="s">
        <v>131</v>
      </c>
      <c r="H89" s="9" t="s">
        <v>140</v>
      </c>
      <c r="I89" s="10"/>
      <c r="J89" s="10"/>
      <c r="K89" s="10"/>
      <c r="L89" s="10"/>
      <c r="M89" s="10"/>
      <c r="N89" s="10"/>
    </row>
    <row r="90" customFormat="false" ht="23.85" hidden="false" customHeight="false" outlineLevel="0" collapsed="false">
      <c r="A90" s="9" t="s">
        <v>344</v>
      </c>
      <c r="B90" s="9" t="s">
        <v>345</v>
      </c>
      <c r="C90" s="9" t="s">
        <v>346</v>
      </c>
      <c r="D90" s="9" t="s">
        <v>128</v>
      </c>
      <c r="E90" s="9" t="s">
        <v>143</v>
      </c>
      <c r="F90" s="9" t="s">
        <v>144</v>
      </c>
      <c r="G90" s="9" t="s">
        <v>131</v>
      </c>
      <c r="H90" s="9" t="s">
        <v>145</v>
      </c>
      <c r="I90" s="10"/>
      <c r="J90" s="10"/>
      <c r="K90" s="10"/>
      <c r="L90" s="10"/>
      <c r="M90" s="10"/>
      <c r="N90" s="10"/>
    </row>
    <row r="91" customFormat="false" ht="23.85" hidden="false" customHeight="false" outlineLevel="0" collapsed="false">
      <c r="A91" s="9" t="s">
        <v>347</v>
      </c>
      <c r="B91" s="9" t="s">
        <v>348</v>
      </c>
      <c r="C91" s="9" t="s">
        <v>349</v>
      </c>
      <c r="D91" s="9" t="s">
        <v>128</v>
      </c>
      <c r="E91" s="9" t="s">
        <v>143</v>
      </c>
      <c r="F91" s="9" t="s">
        <v>130</v>
      </c>
      <c r="G91" s="9" t="s">
        <v>131</v>
      </c>
      <c r="H91" s="9" t="s">
        <v>145</v>
      </c>
      <c r="I91" s="10"/>
      <c r="J91" s="10"/>
      <c r="K91" s="10"/>
      <c r="L91" s="10"/>
      <c r="M91" s="10"/>
      <c r="N91" s="10"/>
    </row>
    <row r="92" customFormat="false" ht="23.85" hidden="false" customHeight="false" outlineLevel="0" collapsed="false">
      <c r="A92" s="9" t="s">
        <v>350</v>
      </c>
      <c r="B92" s="9" t="s">
        <v>351</v>
      </c>
      <c r="C92" s="9" t="s">
        <v>352</v>
      </c>
      <c r="D92" s="9" t="s">
        <v>128</v>
      </c>
      <c r="E92" s="9" t="s">
        <v>129</v>
      </c>
      <c r="F92" s="9" t="s">
        <v>130</v>
      </c>
      <c r="G92" s="9" t="s">
        <v>131</v>
      </c>
      <c r="H92" s="9" t="s">
        <v>140</v>
      </c>
      <c r="I92" s="10"/>
      <c r="J92" s="10"/>
      <c r="K92" s="10"/>
      <c r="L92" s="10"/>
      <c r="M92" s="10"/>
      <c r="N92" s="10"/>
    </row>
    <row r="93" customFormat="false" ht="23.85" hidden="false" customHeight="false" outlineLevel="0" collapsed="false">
      <c r="A93" s="9" t="s">
        <v>353</v>
      </c>
      <c r="B93" s="9" t="s">
        <v>351</v>
      </c>
      <c r="C93" s="9" t="s">
        <v>354</v>
      </c>
      <c r="D93" s="9" t="s">
        <v>128</v>
      </c>
      <c r="E93" s="9" t="s">
        <v>183</v>
      </c>
      <c r="F93" s="9" t="s">
        <v>130</v>
      </c>
      <c r="G93" s="9" t="s">
        <v>131</v>
      </c>
      <c r="H93" s="9" t="s">
        <v>140</v>
      </c>
      <c r="I93" s="10"/>
      <c r="J93" s="10"/>
      <c r="K93" s="10"/>
      <c r="L93" s="10"/>
      <c r="M93" s="10"/>
      <c r="N93" s="10"/>
    </row>
    <row r="94" customFormat="false" ht="23.85" hidden="false" customHeight="false" outlineLevel="0" collapsed="false">
      <c r="A94" s="9" t="s">
        <v>355</v>
      </c>
      <c r="B94" s="9" t="s">
        <v>356</v>
      </c>
      <c r="C94" s="9" t="s">
        <v>67</v>
      </c>
      <c r="D94" s="9" t="s">
        <v>128</v>
      </c>
      <c r="E94" s="9" t="s">
        <v>129</v>
      </c>
      <c r="F94" s="9" t="s">
        <v>154</v>
      </c>
      <c r="G94" s="9" t="s">
        <v>131</v>
      </c>
      <c r="H94" s="9" t="s">
        <v>140</v>
      </c>
      <c r="I94" s="10"/>
      <c r="J94" s="10"/>
      <c r="K94" s="10"/>
      <c r="L94" s="10"/>
      <c r="M94" s="10"/>
      <c r="N94" s="10"/>
    </row>
    <row r="95" customFormat="false" ht="23.85" hidden="false" customHeight="false" outlineLevel="0" collapsed="false">
      <c r="A95" s="9" t="s">
        <v>357</v>
      </c>
      <c r="B95" s="9" t="s">
        <v>356</v>
      </c>
      <c r="C95" s="9" t="s">
        <v>358</v>
      </c>
      <c r="D95" s="9" t="s">
        <v>128</v>
      </c>
      <c r="E95" s="9" t="s">
        <v>129</v>
      </c>
      <c r="F95" s="9" t="s">
        <v>130</v>
      </c>
      <c r="G95" s="9" t="s">
        <v>131</v>
      </c>
      <c r="H95" s="9" t="s">
        <v>140</v>
      </c>
      <c r="I95" s="10"/>
      <c r="J95" s="10"/>
      <c r="K95" s="10"/>
      <c r="L95" s="10"/>
      <c r="M95" s="10"/>
      <c r="N95" s="10"/>
    </row>
    <row r="96" customFormat="false" ht="23.85" hidden="false" customHeight="false" outlineLevel="0" collapsed="false">
      <c r="A96" s="9" t="s">
        <v>359</v>
      </c>
      <c r="B96" s="9" t="s">
        <v>356</v>
      </c>
      <c r="C96" s="9" t="s">
        <v>360</v>
      </c>
      <c r="D96" s="9" t="s">
        <v>128</v>
      </c>
      <c r="E96" s="9" t="s">
        <v>143</v>
      </c>
      <c r="F96" s="9" t="s">
        <v>151</v>
      </c>
      <c r="G96" s="9" t="s">
        <v>131</v>
      </c>
      <c r="H96" s="9" t="s">
        <v>145</v>
      </c>
      <c r="I96" s="10"/>
      <c r="J96" s="10"/>
      <c r="K96" s="10"/>
      <c r="L96" s="10"/>
      <c r="M96" s="10"/>
      <c r="N96" s="10"/>
    </row>
    <row r="97" customFormat="false" ht="23.85" hidden="false" customHeight="false" outlineLevel="0" collapsed="false">
      <c r="A97" s="9" t="s">
        <v>361</v>
      </c>
      <c r="B97" s="9" t="s">
        <v>362</v>
      </c>
      <c r="C97" s="9" t="s">
        <v>363</v>
      </c>
      <c r="D97" s="9" t="s">
        <v>128</v>
      </c>
      <c r="E97" s="9" t="s">
        <v>143</v>
      </c>
      <c r="F97" s="9" t="s">
        <v>154</v>
      </c>
      <c r="G97" s="9" t="s">
        <v>131</v>
      </c>
      <c r="H97" s="9" t="s">
        <v>140</v>
      </c>
      <c r="I97" s="10"/>
      <c r="J97" s="10"/>
      <c r="K97" s="10"/>
      <c r="L97" s="10"/>
      <c r="M97" s="10"/>
      <c r="N97" s="10"/>
    </row>
    <row r="98" customFormat="false" ht="23.85" hidden="false" customHeight="false" outlineLevel="0" collapsed="false">
      <c r="A98" s="9" t="s">
        <v>364</v>
      </c>
      <c r="B98" s="9" t="s">
        <v>362</v>
      </c>
      <c r="C98" s="9" t="s">
        <v>365</v>
      </c>
      <c r="D98" s="9" t="s">
        <v>128</v>
      </c>
      <c r="E98" s="9" t="s">
        <v>249</v>
      </c>
      <c r="F98" s="9" t="s">
        <v>154</v>
      </c>
      <c r="G98" s="9" t="s">
        <v>131</v>
      </c>
      <c r="H98" s="9" t="s">
        <v>140</v>
      </c>
      <c r="I98" s="10"/>
      <c r="J98" s="10"/>
      <c r="K98" s="10"/>
      <c r="L98" s="10"/>
      <c r="M98" s="10"/>
      <c r="N98" s="10"/>
    </row>
    <row r="99" customFormat="false" ht="23.85" hidden="false" customHeight="false" outlineLevel="0" collapsed="false">
      <c r="A99" s="9" t="s">
        <v>366</v>
      </c>
      <c r="B99" s="9" t="s">
        <v>362</v>
      </c>
      <c r="C99" s="9" t="s">
        <v>367</v>
      </c>
      <c r="D99" s="9" t="s">
        <v>128</v>
      </c>
      <c r="E99" s="9" t="s">
        <v>129</v>
      </c>
      <c r="F99" s="9" t="s">
        <v>154</v>
      </c>
      <c r="G99" s="9" t="s">
        <v>131</v>
      </c>
      <c r="H99" s="9" t="s">
        <v>140</v>
      </c>
      <c r="I99" s="10"/>
      <c r="J99" s="10"/>
      <c r="K99" s="10"/>
      <c r="L99" s="10"/>
      <c r="M99" s="10"/>
      <c r="N99" s="10"/>
    </row>
    <row r="100" customFormat="false" ht="23.85" hidden="false" customHeight="false" outlineLevel="0" collapsed="false">
      <c r="A100" s="9" t="s">
        <v>368</v>
      </c>
      <c r="B100" s="9" t="s">
        <v>362</v>
      </c>
      <c r="C100" s="9" t="s">
        <v>369</v>
      </c>
      <c r="D100" s="9" t="s">
        <v>128</v>
      </c>
      <c r="E100" s="9" t="s">
        <v>143</v>
      </c>
      <c r="F100" s="9" t="s">
        <v>154</v>
      </c>
      <c r="G100" s="9" t="s">
        <v>131</v>
      </c>
      <c r="H100" s="9" t="s">
        <v>140</v>
      </c>
      <c r="I100" s="10"/>
      <c r="J100" s="10"/>
      <c r="K100" s="10"/>
      <c r="L100" s="10"/>
      <c r="M100" s="10"/>
      <c r="N100" s="10"/>
    </row>
    <row r="101" customFormat="false" ht="23.85" hidden="false" customHeight="false" outlineLevel="0" collapsed="false">
      <c r="A101" s="9" t="s">
        <v>370</v>
      </c>
      <c r="B101" s="9" t="s">
        <v>139</v>
      </c>
      <c r="C101" s="9" t="s">
        <v>371</v>
      </c>
      <c r="D101" s="9" t="s">
        <v>128</v>
      </c>
      <c r="E101" s="9" t="s">
        <v>226</v>
      </c>
      <c r="F101" s="9" t="s">
        <v>144</v>
      </c>
      <c r="G101" s="9" t="s">
        <v>372</v>
      </c>
      <c r="H101" s="9" t="s">
        <v>274</v>
      </c>
      <c r="I101" s="10"/>
      <c r="J101" s="10"/>
      <c r="K101" s="10"/>
      <c r="L101" s="10"/>
      <c r="M101" s="10"/>
      <c r="N101" s="10"/>
    </row>
    <row r="102" customFormat="false" ht="23.85" hidden="false" customHeight="false" outlineLevel="0" collapsed="false">
      <c r="A102" s="9" t="s">
        <v>373</v>
      </c>
      <c r="B102" s="9" t="s">
        <v>158</v>
      </c>
      <c r="C102" s="9" t="s">
        <v>374</v>
      </c>
      <c r="D102" s="9" t="s">
        <v>128</v>
      </c>
      <c r="E102" s="9" t="s">
        <v>143</v>
      </c>
      <c r="F102" s="9" t="s">
        <v>151</v>
      </c>
      <c r="G102" s="9" t="s">
        <v>372</v>
      </c>
      <c r="H102" s="9" t="s">
        <v>274</v>
      </c>
      <c r="I102" s="10"/>
      <c r="J102" s="10"/>
      <c r="K102" s="10"/>
      <c r="L102" s="10"/>
      <c r="M102" s="10"/>
      <c r="N102" s="10"/>
    </row>
    <row r="103" customFormat="false" ht="23.85" hidden="false" customHeight="false" outlineLevel="0" collapsed="false">
      <c r="A103" s="9" t="s">
        <v>375</v>
      </c>
      <c r="B103" s="9" t="s">
        <v>158</v>
      </c>
      <c r="C103" s="9" t="s">
        <v>376</v>
      </c>
      <c r="D103" s="9" t="s">
        <v>128</v>
      </c>
      <c r="E103" s="9" t="s">
        <v>129</v>
      </c>
      <c r="F103" s="9" t="s">
        <v>144</v>
      </c>
      <c r="G103" s="9" t="s">
        <v>372</v>
      </c>
      <c r="H103" s="9" t="s">
        <v>274</v>
      </c>
      <c r="I103" s="10"/>
      <c r="J103" s="10"/>
      <c r="K103" s="10"/>
      <c r="L103" s="10"/>
      <c r="M103" s="10"/>
      <c r="N103" s="10"/>
    </row>
    <row r="104" customFormat="false" ht="23.85" hidden="false" customHeight="false" outlineLevel="0" collapsed="false">
      <c r="A104" s="9" t="s">
        <v>377</v>
      </c>
      <c r="B104" s="9" t="s">
        <v>158</v>
      </c>
      <c r="C104" s="9" t="s">
        <v>378</v>
      </c>
      <c r="D104" s="9" t="s">
        <v>128</v>
      </c>
      <c r="E104" s="9" t="s">
        <v>129</v>
      </c>
      <c r="F104" s="9" t="s">
        <v>151</v>
      </c>
      <c r="G104" s="9" t="s">
        <v>372</v>
      </c>
      <c r="H104" s="9" t="s">
        <v>274</v>
      </c>
      <c r="I104" s="10"/>
      <c r="J104" s="10"/>
      <c r="K104" s="10"/>
      <c r="L104" s="10"/>
      <c r="M104" s="10"/>
      <c r="N104" s="10"/>
    </row>
    <row r="105" customFormat="false" ht="23.85" hidden="false" customHeight="false" outlineLevel="0" collapsed="false">
      <c r="A105" s="9" t="s">
        <v>379</v>
      </c>
      <c r="B105" s="9" t="s">
        <v>158</v>
      </c>
      <c r="C105" s="9" t="s">
        <v>380</v>
      </c>
      <c r="D105" s="9" t="s">
        <v>128</v>
      </c>
      <c r="E105" s="9" t="s">
        <v>129</v>
      </c>
      <c r="F105" s="9" t="s">
        <v>144</v>
      </c>
      <c r="G105" s="9" t="s">
        <v>372</v>
      </c>
      <c r="H105" s="9" t="s">
        <v>274</v>
      </c>
      <c r="I105" s="10"/>
      <c r="J105" s="10"/>
      <c r="K105" s="10"/>
      <c r="L105" s="10"/>
      <c r="M105" s="10"/>
      <c r="N105" s="10"/>
    </row>
    <row r="106" customFormat="false" ht="23.85" hidden="false" customHeight="false" outlineLevel="0" collapsed="false">
      <c r="A106" s="9" t="s">
        <v>381</v>
      </c>
      <c r="B106" s="9" t="s">
        <v>158</v>
      </c>
      <c r="C106" s="9" t="s">
        <v>382</v>
      </c>
      <c r="D106" s="9" t="s">
        <v>128</v>
      </c>
      <c r="E106" s="9" t="s">
        <v>226</v>
      </c>
      <c r="F106" s="9" t="s">
        <v>144</v>
      </c>
      <c r="G106" s="9" t="s">
        <v>372</v>
      </c>
      <c r="H106" s="9" t="s">
        <v>274</v>
      </c>
      <c r="I106" s="10"/>
      <c r="J106" s="10"/>
      <c r="K106" s="10"/>
      <c r="L106" s="10"/>
      <c r="M106" s="10"/>
      <c r="N106" s="10"/>
    </row>
    <row r="107" customFormat="false" ht="23.85" hidden="false" customHeight="false" outlineLevel="0" collapsed="false">
      <c r="A107" s="9" t="s">
        <v>383</v>
      </c>
      <c r="B107" s="9" t="s">
        <v>158</v>
      </c>
      <c r="C107" s="9" t="s">
        <v>384</v>
      </c>
      <c r="D107" s="9" t="s">
        <v>128</v>
      </c>
      <c r="E107" s="9" t="s">
        <v>129</v>
      </c>
      <c r="F107" s="9" t="s">
        <v>151</v>
      </c>
      <c r="G107" s="9" t="s">
        <v>372</v>
      </c>
      <c r="H107" s="9" t="s">
        <v>274</v>
      </c>
      <c r="I107" s="10"/>
      <c r="J107" s="10"/>
      <c r="K107" s="10"/>
      <c r="L107" s="10"/>
      <c r="M107" s="10"/>
      <c r="N107" s="10"/>
    </row>
    <row r="108" customFormat="false" ht="23.85" hidden="false" customHeight="false" outlineLevel="0" collapsed="false">
      <c r="A108" s="9" t="s">
        <v>385</v>
      </c>
      <c r="B108" s="9" t="s">
        <v>165</v>
      </c>
      <c r="C108" s="9" t="s">
        <v>386</v>
      </c>
      <c r="D108" s="9" t="s">
        <v>128</v>
      </c>
      <c r="E108" s="9" t="s">
        <v>129</v>
      </c>
      <c r="F108" s="9" t="s">
        <v>144</v>
      </c>
      <c r="G108" s="9" t="s">
        <v>372</v>
      </c>
      <c r="H108" s="9" t="s">
        <v>274</v>
      </c>
      <c r="I108" s="10"/>
      <c r="J108" s="10"/>
      <c r="K108" s="10"/>
      <c r="L108" s="10"/>
      <c r="M108" s="10"/>
      <c r="N108" s="10"/>
    </row>
    <row r="109" customFormat="false" ht="23.85" hidden="false" customHeight="false" outlineLevel="0" collapsed="false">
      <c r="A109" s="9" t="s">
        <v>387</v>
      </c>
      <c r="B109" s="9" t="s">
        <v>165</v>
      </c>
      <c r="C109" s="9" t="s">
        <v>388</v>
      </c>
      <c r="D109" s="9" t="s">
        <v>128</v>
      </c>
      <c r="E109" s="9" t="s">
        <v>129</v>
      </c>
      <c r="F109" s="9" t="s">
        <v>151</v>
      </c>
      <c r="G109" s="9" t="s">
        <v>372</v>
      </c>
      <c r="H109" s="9" t="s">
        <v>274</v>
      </c>
      <c r="I109" s="10"/>
      <c r="J109" s="10"/>
      <c r="K109" s="10"/>
      <c r="L109" s="10"/>
      <c r="M109" s="10"/>
      <c r="N109" s="10"/>
    </row>
    <row r="110" customFormat="false" ht="23.85" hidden="false" customHeight="false" outlineLevel="0" collapsed="false">
      <c r="A110" s="9" t="s">
        <v>389</v>
      </c>
      <c r="B110" s="9" t="s">
        <v>165</v>
      </c>
      <c r="C110" s="9" t="s">
        <v>390</v>
      </c>
      <c r="D110" s="9" t="s">
        <v>128</v>
      </c>
      <c r="E110" s="9" t="s">
        <v>129</v>
      </c>
      <c r="F110" s="9" t="s">
        <v>151</v>
      </c>
      <c r="G110" s="9" t="s">
        <v>372</v>
      </c>
      <c r="H110" s="9" t="s">
        <v>274</v>
      </c>
      <c r="I110" s="10"/>
      <c r="J110" s="10"/>
      <c r="K110" s="10"/>
      <c r="L110" s="10"/>
      <c r="M110" s="10"/>
      <c r="N110" s="10"/>
    </row>
    <row r="111" customFormat="false" ht="23.85" hidden="false" customHeight="false" outlineLevel="0" collapsed="false">
      <c r="A111" s="9" t="s">
        <v>391</v>
      </c>
      <c r="B111" s="9" t="s">
        <v>165</v>
      </c>
      <c r="C111" s="9" t="s">
        <v>392</v>
      </c>
      <c r="D111" s="9" t="s">
        <v>128</v>
      </c>
      <c r="E111" s="9" t="s">
        <v>226</v>
      </c>
      <c r="F111" s="9" t="s">
        <v>144</v>
      </c>
      <c r="G111" s="9" t="s">
        <v>372</v>
      </c>
      <c r="H111" s="9" t="s">
        <v>274</v>
      </c>
      <c r="I111" s="10"/>
      <c r="J111" s="10"/>
      <c r="K111" s="10"/>
      <c r="L111" s="10"/>
      <c r="M111" s="10"/>
      <c r="N111" s="10"/>
    </row>
    <row r="112" customFormat="false" ht="23.85" hidden="false" customHeight="false" outlineLevel="0" collapsed="false">
      <c r="A112" s="9" t="s">
        <v>393</v>
      </c>
      <c r="B112" s="9" t="s">
        <v>187</v>
      </c>
      <c r="C112" s="9" t="s">
        <v>394</v>
      </c>
      <c r="D112" s="9" t="s">
        <v>128</v>
      </c>
      <c r="E112" s="9" t="s">
        <v>143</v>
      </c>
      <c r="F112" s="9" t="s">
        <v>151</v>
      </c>
      <c r="G112" s="9" t="s">
        <v>372</v>
      </c>
      <c r="H112" s="9" t="s">
        <v>274</v>
      </c>
      <c r="I112" s="10"/>
      <c r="J112" s="10"/>
      <c r="K112" s="10"/>
      <c r="L112" s="10"/>
      <c r="M112" s="10"/>
      <c r="N112" s="10"/>
    </row>
    <row r="113" customFormat="false" ht="23.85" hidden="false" customHeight="false" outlineLevel="0" collapsed="false">
      <c r="A113" s="9" t="s">
        <v>395</v>
      </c>
      <c r="B113" s="9" t="s">
        <v>187</v>
      </c>
      <c r="C113" s="9" t="s">
        <v>396</v>
      </c>
      <c r="D113" s="9" t="s">
        <v>128</v>
      </c>
      <c r="E113" s="9" t="s">
        <v>129</v>
      </c>
      <c r="F113" s="9" t="s">
        <v>144</v>
      </c>
      <c r="G113" s="9" t="s">
        <v>372</v>
      </c>
      <c r="H113" s="9" t="s">
        <v>274</v>
      </c>
      <c r="I113" s="10"/>
      <c r="J113" s="10"/>
      <c r="K113" s="10"/>
      <c r="L113" s="10"/>
      <c r="M113" s="10"/>
      <c r="N113" s="10"/>
    </row>
    <row r="114" customFormat="false" ht="23.85" hidden="false" customHeight="false" outlineLevel="0" collapsed="false">
      <c r="A114" s="9" t="s">
        <v>397</v>
      </c>
      <c r="B114" s="9" t="s">
        <v>187</v>
      </c>
      <c r="C114" s="9" t="s">
        <v>398</v>
      </c>
      <c r="D114" s="9" t="s">
        <v>128</v>
      </c>
      <c r="E114" s="9" t="s">
        <v>129</v>
      </c>
      <c r="F114" s="9" t="s">
        <v>144</v>
      </c>
      <c r="G114" s="9" t="s">
        <v>372</v>
      </c>
      <c r="H114" s="9" t="s">
        <v>274</v>
      </c>
      <c r="I114" s="10"/>
      <c r="J114" s="10"/>
      <c r="K114" s="10"/>
      <c r="L114" s="10"/>
      <c r="M114" s="10"/>
      <c r="N114" s="10"/>
    </row>
    <row r="115" customFormat="false" ht="23.85" hidden="false" customHeight="false" outlineLevel="0" collapsed="false">
      <c r="A115" s="9" t="s">
        <v>399</v>
      </c>
      <c r="B115" s="9" t="s">
        <v>192</v>
      </c>
      <c r="C115" s="9" t="s">
        <v>400</v>
      </c>
      <c r="D115" s="9" t="s">
        <v>128</v>
      </c>
      <c r="E115" s="9" t="s">
        <v>183</v>
      </c>
      <c r="F115" s="9" t="s">
        <v>151</v>
      </c>
      <c r="G115" s="9" t="s">
        <v>372</v>
      </c>
      <c r="H115" s="9" t="s">
        <v>274</v>
      </c>
      <c r="I115" s="10"/>
      <c r="J115" s="10"/>
      <c r="K115" s="10"/>
      <c r="L115" s="10"/>
      <c r="M115" s="10"/>
      <c r="N115" s="10"/>
    </row>
    <row r="116" customFormat="false" ht="23.85" hidden="false" customHeight="false" outlineLevel="0" collapsed="false">
      <c r="A116" s="9" t="s">
        <v>401</v>
      </c>
      <c r="B116" s="9" t="s">
        <v>207</v>
      </c>
      <c r="C116" s="9" t="s">
        <v>402</v>
      </c>
      <c r="D116" s="9" t="s">
        <v>128</v>
      </c>
      <c r="E116" s="9" t="s">
        <v>183</v>
      </c>
      <c r="F116" s="9" t="s">
        <v>151</v>
      </c>
      <c r="G116" s="9" t="s">
        <v>372</v>
      </c>
      <c r="H116" s="9" t="s">
        <v>274</v>
      </c>
      <c r="I116" s="10"/>
      <c r="J116" s="10"/>
      <c r="K116" s="10"/>
      <c r="L116" s="10"/>
      <c r="M116" s="10"/>
      <c r="N116" s="10"/>
    </row>
    <row r="117" customFormat="false" ht="23.85" hidden="false" customHeight="false" outlineLevel="0" collapsed="false">
      <c r="A117" s="9" t="s">
        <v>403</v>
      </c>
      <c r="B117" s="9" t="s">
        <v>207</v>
      </c>
      <c r="C117" s="9" t="s">
        <v>404</v>
      </c>
      <c r="D117" s="9" t="s">
        <v>128</v>
      </c>
      <c r="E117" s="9" t="s">
        <v>226</v>
      </c>
      <c r="F117" s="9" t="s">
        <v>151</v>
      </c>
      <c r="G117" s="9" t="s">
        <v>372</v>
      </c>
      <c r="H117" s="9" t="s">
        <v>274</v>
      </c>
      <c r="I117" s="10"/>
      <c r="J117" s="10"/>
      <c r="K117" s="10"/>
      <c r="L117" s="10"/>
      <c r="M117" s="10"/>
      <c r="N117" s="10"/>
    </row>
    <row r="118" customFormat="false" ht="23.85" hidden="false" customHeight="false" outlineLevel="0" collapsed="false">
      <c r="A118" s="9" t="s">
        <v>405</v>
      </c>
      <c r="B118" s="9" t="s">
        <v>233</v>
      </c>
      <c r="C118" s="9" t="s">
        <v>406</v>
      </c>
      <c r="D118" s="9" t="s">
        <v>128</v>
      </c>
      <c r="E118" s="9" t="s">
        <v>129</v>
      </c>
      <c r="F118" s="9" t="s">
        <v>151</v>
      </c>
      <c r="G118" s="9" t="s">
        <v>372</v>
      </c>
      <c r="H118" s="9" t="s">
        <v>274</v>
      </c>
      <c r="I118" s="10"/>
      <c r="J118" s="10"/>
      <c r="K118" s="10"/>
      <c r="L118" s="10"/>
      <c r="M118" s="10"/>
      <c r="N118" s="10"/>
    </row>
    <row r="119" customFormat="false" ht="23.85" hidden="false" customHeight="false" outlineLevel="0" collapsed="false">
      <c r="A119" s="9" t="s">
        <v>407</v>
      </c>
      <c r="B119" s="9" t="s">
        <v>233</v>
      </c>
      <c r="C119" s="9" t="s">
        <v>408</v>
      </c>
      <c r="D119" s="9" t="s">
        <v>128</v>
      </c>
      <c r="E119" s="9" t="s">
        <v>237</v>
      </c>
      <c r="F119" s="9" t="s">
        <v>144</v>
      </c>
      <c r="G119" s="9" t="s">
        <v>372</v>
      </c>
      <c r="H119" s="9" t="s">
        <v>274</v>
      </c>
      <c r="I119" s="10"/>
      <c r="J119" s="10"/>
      <c r="K119" s="10"/>
      <c r="L119" s="10"/>
      <c r="M119" s="10"/>
      <c r="N119" s="10"/>
    </row>
    <row r="120" customFormat="false" ht="23.85" hidden="false" customHeight="false" outlineLevel="0" collapsed="false">
      <c r="A120" s="9" t="s">
        <v>409</v>
      </c>
      <c r="B120" s="9" t="s">
        <v>239</v>
      </c>
      <c r="C120" s="9" t="s">
        <v>410</v>
      </c>
      <c r="D120" s="9" t="s">
        <v>128</v>
      </c>
      <c r="E120" s="9" t="s">
        <v>129</v>
      </c>
      <c r="F120" s="9" t="s">
        <v>151</v>
      </c>
      <c r="G120" s="9" t="s">
        <v>372</v>
      </c>
      <c r="H120" s="9" t="s">
        <v>274</v>
      </c>
      <c r="I120" s="10"/>
      <c r="J120" s="10"/>
      <c r="K120" s="10"/>
      <c r="L120" s="10"/>
      <c r="M120" s="10"/>
      <c r="N120" s="10"/>
    </row>
    <row r="121" customFormat="false" ht="23.85" hidden="false" customHeight="false" outlineLevel="0" collapsed="false">
      <c r="A121" s="9" t="s">
        <v>411</v>
      </c>
      <c r="B121" s="9" t="s">
        <v>239</v>
      </c>
      <c r="C121" s="9" t="s">
        <v>412</v>
      </c>
      <c r="D121" s="9" t="s">
        <v>128</v>
      </c>
      <c r="E121" s="9" t="s">
        <v>143</v>
      </c>
      <c r="F121" s="9" t="s">
        <v>151</v>
      </c>
      <c r="G121" s="9" t="s">
        <v>372</v>
      </c>
      <c r="H121" s="9" t="s">
        <v>274</v>
      </c>
      <c r="I121" s="10"/>
      <c r="J121" s="10"/>
      <c r="K121" s="10"/>
      <c r="L121" s="10"/>
      <c r="M121" s="10"/>
      <c r="N121" s="10"/>
    </row>
    <row r="122" customFormat="false" ht="23.85" hidden="false" customHeight="false" outlineLevel="0" collapsed="false">
      <c r="A122" s="9" t="s">
        <v>413</v>
      </c>
      <c r="B122" s="9" t="s">
        <v>414</v>
      </c>
      <c r="C122" s="9" t="s">
        <v>415</v>
      </c>
      <c r="D122" s="9" t="s">
        <v>128</v>
      </c>
      <c r="E122" s="9" t="s">
        <v>129</v>
      </c>
      <c r="F122" s="9" t="s">
        <v>151</v>
      </c>
      <c r="G122" s="9" t="s">
        <v>372</v>
      </c>
      <c r="H122" s="9" t="s">
        <v>274</v>
      </c>
      <c r="I122" s="10"/>
      <c r="J122" s="10"/>
      <c r="K122" s="10"/>
      <c r="L122" s="10"/>
      <c r="M122" s="10"/>
      <c r="N122" s="10"/>
    </row>
    <row r="123" customFormat="false" ht="23.85" hidden="false" customHeight="false" outlineLevel="0" collapsed="false">
      <c r="A123" s="9" t="s">
        <v>416</v>
      </c>
      <c r="B123" s="9" t="s">
        <v>414</v>
      </c>
      <c r="C123" s="9" t="s">
        <v>417</v>
      </c>
      <c r="D123" s="9" t="s">
        <v>128</v>
      </c>
      <c r="E123" s="9" t="s">
        <v>226</v>
      </c>
      <c r="F123" s="9" t="s">
        <v>144</v>
      </c>
      <c r="G123" s="9" t="s">
        <v>372</v>
      </c>
      <c r="H123" s="9" t="s">
        <v>274</v>
      </c>
      <c r="I123" s="10"/>
      <c r="J123" s="10"/>
      <c r="K123" s="10"/>
      <c r="L123" s="10"/>
      <c r="M123" s="10"/>
      <c r="N123" s="10"/>
    </row>
    <row r="124" customFormat="false" ht="23.85" hidden="false" customHeight="false" outlineLevel="0" collapsed="false">
      <c r="A124" s="9" t="s">
        <v>418</v>
      </c>
      <c r="B124" s="9" t="s">
        <v>263</v>
      </c>
      <c r="C124" s="9" t="s">
        <v>419</v>
      </c>
      <c r="D124" s="9" t="s">
        <v>128</v>
      </c>
      <c r="E124" s="9" t="s">
        <v>226</v>
      </c>
      <c r="F124" s="9" t="s">
        <v>144</v>
      </c>
      <c r="G124" s="9" t="s">
        <v>372</v>
      </c>
      <c r="H124" s="9" t="s">
        <v>274</v>
      </c>
      <c r="I124" s="10"/>
      <c r="J124" s="10"/>
      <c r="K124" s="10"/>
      <c r="L124" s="10"/>
      <c r="M124" s="10"/>
      <c r="N124" s="10"/>
    </row>
    <row r="125" customFormat="false" ht="23.85" hidden="false" customHeight="false" outlineLevel="0" collapsed="false">
      <c r="A125" s="9" t="s">
        <v>420</v>
      </c>
      <c r="B125" s="9" t="s">
        <v>263</v>
      </c>
      <c r="C125" s="9" t="s">
        <v>421</v>
      </c>
      <c r="D125" s="9" t="s">
        <v>128</v>
      </c>
      <c r="E125" s="9" t="s">
        <v>226</v>
      </c>
      <c r="F125" s="9" t="s">
        <v>144</v>
      </c>
      <c r="G125" s="9" t="s">
        <v>372</v>
      </c>
      <c r="H125" s="9" t="s">
        <v>274</v>
      </c>
      <c r="I125" s="10"/>
      <c r="J125" s="10"/>
      <c r="K125" s="10"/>
      <c r="L125" s="10"/>
      <c r="M125" s="10"/>
      <c r="N125" s="10"/>
    </row>
    <row r="126" customFormat="false" ht="23.85" hidden="false" customHeight="false" outlineLevel="0" collapsed="false">
      <c r="A126" s="9" t="s">
        <v>422</v>
      </c>
      <c r="B126" s="9" t="s">
        <v>423</v>
      </c>
      <c r="C126" s="9" t="s">
        <v>424</v>
      </c>
      <c r="D126" s="9" t="s">
        <v>128</v>
      </c>
      <c r="E126" s="9" t="s">
        <v>226</v>
      </c>
      <c r="F126" s="9" t="s">
        <v>144</v>
      </c>
      <c r="G126" s="9" t="s">
        <v>372</v>
      </c>
      <c r="H126" s="9" t="s">
        <v>274</v>
      </c>
      <c r="I126" s="10"/>
      <c r="J126" s="10"/>
      <c r="K126" s="10"/>
      <c r="L126" s="10"/>
      <c r="M126" s="10"/>
      <c r="N126" s="10"/>
    </row>
    <row r="127" customFormat="false" ht="23.85" hidden="false" customHeight="false" outlineLevel="0" collapsed="false">
      <c r="A127" s="9" t="s">
        <v>425</v>
      </c>
      <c r="B127" s="9" t="s">
        <v>423</v>
      </c>
      <c r="C127" s="9" t="s">
        <v>426</v>
      </c>
      <c r="D127" s="9" t="s">
        <v>128</v>
      </c>
      <c r="E127" s="9" t="s">
        <v>226</v>
      </c>
      <c r="F127" s="9" t="s">
        <v>144</v>
      </c>
      <c r="G127" s="9" t="s">
        <v>372</v>
      </c>
      <c r="H127" s="9" t="s">
        <v>274</v>
      </c>
      <c r="I127" s="10"/>
      <c r="J127" s="10"/>
      <c r="K127" s="10"/>
      <c r="L127" s="10"/>
      <c r="M127" s="10"/>
      <c r="N127" s="10"/>
    </row>
    <row r="128" customFormat="false" ht="23.85" hidden="false" customHeight="false" outlineLevel="0" collapsed="false">
      <c r="A128" s="9" t="s">
        <v>427</v>
      </c>
      <c r="B128" s="9" t="s">
        <v>423</v>
      </c>
      <c r="C128" s="9" t="s">
        <v>428</v>
      </c>
      <c r="D128" s="9" t="s">
        <v>128</v>
      </c>
      <c r="E128" s="9" t="s">
        <v>226</v>
      </c>
      <c r="F128" s="9" t="s">
        <v>144</v>
      </c>
      <c r="G128" s="9" t="s">
        <v>372</v>
      </c>
      <c r="H128" s="9" t="s">
        <v>274</v>
      </c>
      <c r="I128" s="10"/>
      <c r="J128" s="10"/>
      <c r="K128" s="10"/>
      <c r="L128" s="10"/>
      <c r="M128" s="10"/>
      <c r="N128" s="10"/>
    </row>
    <row r="129" customFormat="false" ht="23.85" hidden="false" customHeight="false" outlineLevel="0" collapsed="false">
      <c r="A129" s="9" t="s">
        <v>429</v>
      </c>
      <c r="B129" s="9" t="s">
        <v>423</v>
      </c>
      <c r="C129" s="9" t="s">
        <v>430</v>
      </c>
      <c r="D129" s="9" t="s">
        <v>128</v>
      </c>
      <c r="E129" s="9" t="s">
        <v>143</v>
      </c>
      <c r="F129" s="9" t="s">
        <v>144</v>
      </c>
      <c r="G129" s="9" t="s">
        <v>372</v>
      </c>
      <c r="H129" s="9" t="s">
        <v>274</v>
      </c>
      <c r="I129" s="10"/>
      <c r="J129" s="10"/>
      <c r="K129" s="10"/>
      <c r="L129" s="10"/>
      <c r="M129" s="10"/>
      <c r="N129" s="10"/>
    </row>
    <row r="130" customFormat="false" ht="23.85" hidden="false" customHeight="false" outlineLevel="0" collapsed="false">
      <c r="A130" s="9" t="s">
        <v>431</v>
      </c>
      <c r="B130" s="9" t="s">
        <v>284</v>
      </c>
      <c r="C130" s="9" t="s">
        <v>432</v>
      </c>
      <c r="D130" s="9" t="s">
        <v>128</v>
      </c>
      <c r="E130" s="9" t="s">
        <v>226</v>
      </c>
      <c r="F130" s="9" t="s">
        <v>144</v>
      </c>
      <c r="G130" s="9" t="s">
        <v>372</v>
      </c>
      <c r="H130" s="9" t="s">
        <v>274</v>
      </c>
      <c r="I130" s="10"/>
      <c r="J130" s="10"/>
      <c r="K130" s="10"/>
      <c r="L130" s="10"/>
      <c r="M130" s="10"/>
      <c r="N130" s="10"/>
    </row>
    <row r="131" customFormat="false" ht="23.85" hidden="false" customHeight="false" outlineLevel="0" collapsed="false">
      <c r="A131" s="9" t="s">
        <v>433</v>
      </c>
      <c r="B131" s="9" t="s">
        <v>284</v>
      </c>
      <c r="C131" s="9" t="s">
        <v>434</v>
      </c>
      <c r="D131" s="9" t="s">
        <v>128</v>
      </c>
      <c r="E131" s="9" t="s">
        <v>226</v>
      </c>
      <c r="F131" s="9" t="s">
        <v>144</v>
      </c>
      <c r="G131" s="9" t="s">
        <v>372</v>
      </c>
      <c r="H131" s="9" t="s">
        <v>274</v>
      </c>
      <c r="I131" s="10"/>
      <c r="J131" s="10"/>
      <c r="K131" s="10"/>
      <c r="L131" s="10"/>
      <c r="M131" s="10"/>
      <c r="N131" s="10"/>
    </row>
    <row r="132" customFormat="false" ht="23.85" hidden="false" customHeight="false" outlineLevel="0" collapsed="false">
      <c r="A132" s="9" t="s">
        <v>435</v>
      </c>
      <c r="B132" s="9" t="s">
        <v>436</v>
      </c>
      <c r="C132" s="9" t="s">
        <v>437</v>
      </c>
      <c r="D132" s="9" t="s">
        <v>128</v>
      </c>
      <c r="E132" s="9" t="s">
        <v>129</v>
      </c>
      <c r="F132" s="9" t="s">
        <v>144</v>
      </c>
      <c r="G132" s="9" t="s">
        <v>372</v>
      </c>
      <c r="H132" s="9" t="s">
        <v>274</v>
      </c>
      <c r="I132" s="10"/>
      <c r="J132" s="10"/>
      <c r="K132" s="10"/>
      <c r="L132" s="10"/>
      <c r="M132" s="10"/>
      <c r="N132" s="10"/>
    </row>
    <row r="133" customFormat="false" ht="35.05" hidden="false" customHeight="false" outlineLevel="0" collapsed="false">
      <c r="A133" s="9" t="s">
        <v>438</v>
      </c>
      <c r="B133" s="9" t="s">
        <v>293</v>
      </c>
      <c r="C133" s="9" t="s">
        <v>439</v>
      </c>
      <c r="D133" s="9" t="s">
        <v>128</v>
      </c>
      <c r="E133" s="9" t="s">
        <v>143</v>
      </c>
      <c r="F133" s="9" t="s">
        <v>151</v>
      </c>
      <c r="G133" s="9" t="s">
        <v>372</v>
      </c>
      <c r="H133" s="9" t="s">
        <v>274</v>
      </c>
      <c r="I133" s="10"/>
      <c r="J133" s="10"/>
      <c r="K133" s="10"/>
      <c r="L133" s="10"/>
      <c r="M133" s="10"/>
      <c r="N133" s="10"/>
    </row>
    <row r="134" customFormat="false" ht="35.05" hidden="false" customHeight="false" outlineLevel="0" collapsed="false">
      <c r="A134" s="9" t="s">
        <v>440</v>
      </c>
      <c r="B134" s="9" t="s">
        <v>293</v>
      </c>
      <c r="C134" s="9" t="s">
        <v>441</v>
      </c>
      <c r="D134" s="9" t="s">
        <v>128</v>
      </c>
      <c r="E134" s="9" t="s">
        <v>129</v>
      </c>
      <c r="F134" s="9" t="s">
        <v>151</v>
      </c>
      <c r="G134" s="9" t="s">
        <v>372</v>
      </c>
      <c r="H134" s="9" t="s">
        <v>274</v>
      </c>
      <c r="I134" s="10"/>
      <c r="J134" s="10"/>
      <c r="K134" s="10"/>
      <c r="L134" s="10"/>
      <c r="M134" s="10"/>
      <c r="N134" s="10"/>
    </row>
    <row r="135" customFormat="false" ht="35.05" hidden="false" customHeight="false" outlineLevel="0" collapsed="false">
      <c r="A135" s="9" t="s">
        <v>442</v>
      </c>
      <c r="B135" s="9" t="s">
        <v>293</v>
      </c>
      <c r="C135" s="9" t="s">
        <v>443</v>
      </c>
      <c r="D135" s="9" t="s">
        <v>128</v>
      </c>
      <c r="E135" s="9" t="s">
        <v>129</v>
      </c>
      <c r="F135" s="9" t="s">
        <v>144</v>
      </c>
      <c r="G135" s="9" t="s">
        <v>372</v>
      </c>
      <c r="H135" s="9" t="s">
        <v>274</v>
      </c>
      <c r="I135" s="10"/>
      <c r="J135" s="10"/>
      <c r="K135" s="10"/>
      <c r="L135" s="10"/>
      <c r="M135" s="10"/>
      <c r="N135" s="10"/>
    </row>
    <row r="136" customFormat="false" ht="35.05" hidden="false" customHeight="false" outlineLevel="0" collapsed="false">
      <c r="A136" s="9" t="s">
        <v>444</v>
      </c>
      <c r="B136" s="9" t="s">
        <v>293</v>
      </c>
      <c r="C136" s="9" t="s">
        <v>445</v>
      </c>
      <c r="D136" s="9" t="s">
        <v>128</v>
      </c>
      <c r="E136" s="9" t="s">
        <v>143</v>
      </c>
      <c r="F136" s="9" t="s">
        <v>151</v>
      </c>
      <c r="G136" s="9" t="s">
        <v>372</v>
      </c>
      <c r="H136" s="9" t="s">
        <v>274</v>
      </c>
      <c r="I136" s="10"/>
      <c r="J136" s="10"/>
      <c r="K136" s="10"/>
      <c r="L136" s="10"/>
      <c r="M136" s="10"/>
      <c r="N136" s="10"/>
    </row>
    <row r="137" customFormat="false" ht="23.85" hidden="false" customHeight="false" outlineLevel="0" collapsed="false">
      <c r="A137" s="9" t="s">
        <v>446</v>
      </c>
      <c r="B137" s="9" t="s">
        <v>314</v>
      </c>
      <c r="C137" s="9" t="s">
        <v>447</v>
      </c>
      <c r="D137" s="9" t="s">
        <v>128</v>
      </c>
      <c r="E137" s="9" t="s">
        <v>143</v>
      </c>
      <c r="F137" s="9" t="s">
        <v>151</v>
      </c>
      <c r="G137" s="9" t="s">
        <v>372</v>
      </c>
      <c r="H137" s="9" t="s">
        <v>274</v>
      </c>
      <c r="I137" s="10"/>
      <c r="J137" s="10"/>
      <c r="K137" s="10"/>
      <c r="L137" s="10"/>
      <c r="M137" s="10"/>
      <c r="N137" s="10"/>
    </row>
    <row r="138" customFormat="false" ht="23.85" hidden="false" customHeight="false" outlineLevel="0" collapsed="false">
      <c r="A138" s="9" t="s">
        <v>448</v>
      </c>
      <c r="B138" s="9" t="s">
        <v>314</v>
      </c>
      <c r="C138" s="9" t="s">
        <v>449</v>
      </c>
      <c r="D138" s="9" t="s">
        <v>128</v>
      </c>
      <c r="E138" s="9" t="s">
        <v>129</v>
      </c>
      <c r="F138" s="9" t="s">
        <v>151</v>
      </c>
      <c r="G138" s="9" t="s">
        <v>372</v>
      </c>
      <c r="H138" s="9" t="s">
        <v>274</v>
      </c>
      <c r="I138" s="10"/>
      <c r="J138" s="10"/>
      <c r="K138" s="10"/>
      <c r="L138" s="10"/>
      <c r="M138" s="10"/>
      <c r="N138" s="10"/>
    </row>
    <row r="139" customFormat="false" ht="23.85" hidden="false" customHeight="false" outlineLevel="0" collapsed="false">
      <c r="A139" s="9" t="s">
        <v>450</v>
      </c>
      <c r="B139" s="9" t="s">
        <v>314</v>
      </c>
      <c r="C139" s="9" t="s">
        <v>451</v>
      </c>
      <c r="D139" s="9" t="s">
        <v>128</v>
      </c>
      <c r="E139" s="9" t="s">
        <v>129</v>
      </c>
      <c r="F139" s="9" t="s">
        <v>151</v>
      </c>
      <c r="G139" s="9" t="s">
        <v>372</v>
      </c>
      <c r="H139" s="9" t="s">
        <v>274</v>
      </c>
      <c r="I139" s="10"/>
      <c r="J139" s="10"/>
      <c r="K139" s="10"/>
      <c r="L139" s="10"/>
      <c r="M139" s="10"/>
      <c r="N139" s="10"/>
    </row>
    <row r="140" customFormat="false" ht="23.85" hidden="false" customHeight="false" outlineLevel="0" collapsed="false">
      <c r="A140" s="9" t="s">
        <v>452</v>
      </c>
      <c r="B140" s="9" t="s">
        <v>314</v>
      </c>
      <c r="C140" s="9" t="s">
        <v>453</v>
      </c>
      <c r="D140" s="9" t="s">
        <v>128</v>
      </c>
      <c r="E140" s="9" t="s">
        <v>129</v>
      </c>
      <c r="F140" s="9" t="s">
        <v>151</v>
      </c>
      <c r="G140" s="9" t="s">
        <v>372</v>
      </c>
      <c r="H140" s="9" t="s">
        <v>274</v>
      </c>
      <c r="I140" s="10"/>
      <c r="J140" s="10"/>
      <c r="K140" s="10"/>
      <c r="L140" s="10"/>
      <c r="M140" s="10"/>
      <c r="N140" s="10"/>
    </row>
    <row r="141" customFormat="false" ht="23.85" hidden="false" customHeight="false" outlineLevel="0" collapsed="false">
      <c r="A141" s="9" t="s">
        <v>454</v>
      </c>
      <c r="B141" s="9" t="s">
        <v>314</v>
      </c>
      <c r="C141" s="9" t="s">
        <v>455</v>
      </c>
      <c r="D141" s="9" t="s">
        <v>128</v>
      </c>
      <c r="E141" s="9" t="s">
        <v>129</v>
      </c>
      <c r="F141" s="9" t="s">
        <v>144</v>
      </c>
      <c r="G141" s="9" t="s">
        <v>372</v>
      </c>
      <c r="H141" s="9" t="s">
        <v>274</v>
      </c>
      <c r="I141" s="10"/>
      <c r="J141" s="10"/>
      <c r="K141" s="10"/>
      <c r="L141" s="10"/>
      <c r="M141" s="10"/>
      <c r="N141" s="10"/>
    </row>
    <row r="142" customFormat="false" ht="23.85" hidden="false" customHeight="false" outlineLevel="0" collapsed="false">
      <c r="A142" s="9" t="s">
        <v>456</v>
      </c>
      <c r="B142" s="9" t="s">
        <v>314</v>
      </c>
      <c r="C142" s="9" t="s">
        <v>457</v>
      </c>
      <c r="D142" s="9" t="s">
        <v>128</v>
      </c>
      <c r="E142" s="9" t="s">
        <v>143</v>
      </c>
      <c r="F142" s="9" t="s">
        <v>151</v>
      </c>
      <c r="G142" s="9" t="s">
        <v>372</v>
      </c>
      <c r="H142" s="9" t="s">
        <v>274</v>
      </c>
      <c r="I142" s="10"/>
      <c r="J142" s="10"/>
      <c r="K142" s="10"/>
      <c r="L142" s="10"/>
      <c r="M142" s="10"/>
      <c r="N142" s="10"/>
    </row>
    <row r="143" customFormat="false" ht="23.85" hidden="false" customHeight="false" outlineLevel="0" collapsed="false">
      <c r="A143" s="9" t="s">
        <v>458</v>
      </c>
      <c r="B143" s="9" t="s">
        <v>327</v>
      </c>
      <c r="C143" s="9" t="s">
        <v>459</v>
      </c>
      <c r="D143" s="9" t="s">
        <v>128</v>
      </c>
      <c r="E143" s="9" t="s">
        <v>129</v>
      </c>
      <c r="F143" s="9" t="s">
        <v>151</v>
      </c>
      <c r="G143" s="9" t="s">
        <v>372</v>
      </c>
      <c r="H143" s="9" t="s">
        <v>274</v>
      </c>
      <c r="I143" s="10"/>
      <c r="J143" s="10"/>
      <c r="K143" s="10"/>
      <c r="L143" s="10"/>
      <c r="M143" s="10"/>
      <c r="N143" s="10"/>
    </row>
    <row r="144" customFormat="false" ht="23.85" hidden="false" customHeight="false" outlineLevel="0" collapsed="false">
      <c r="A144" s="9" t="s">
        <v>460</v>
      </c>
      <c r="B144" s="9" t="s">
        <v>327</v>
      </c>
      <c r="C144" s="9" t="s">
        <v>461</v>
      </c>
      <c r="D144" s="9" t="s">
        <v>128</v>
      </c>
      <c r="E144" s="9" t="s">
        <v>129</v>
      </c>
      <c r="F144" s="9" t="s">
        <v>151</v>
      </c>
      <c r="G144" s="9" t="s">
        <v>372</v>
      </c>
      <c r="H144" s="9" t="s">
        <v>274</v>
      </c>
      <c r="I144" s="10"/>
      <c r="J144" s="10"/>
      <c r="K144" s="10"/>
      <c r="L144" s="10"/>
      <c r="M144" s="10"/>
      <c r="N144" s="10"/>
    </row>
    <row r="145" customFormat="false" ht="23.85" hidden="false" customHeight="false" outlineLevel="0" collapsed="false">
      <c r="A145" s="9" t="s">
        <v>462</v>
      </c>
      <c r="B145" s="9" t="s">
        <v>327</v>
      </c>
      <c r="C145" s="9" t="s">
        <v>463</v>
      </c>
      <c r="D145" s="9" t="s">
        <v>128</v>
      </c>
      <c r="E145" s="9" t="s">
        <v>129</v>
      </c>
      <c r="F145" s="9" t="s">
        <v>144</v>
      </c>
      <c r="G145" s="9" t="s">
        <v>372</v>
      </c>
      <c r="H145" s="9" t="s">
        <v>274</v>
      </c>
      <c r="I145" s="10"/>
      <c r="J145" s="10"/>
      <c r="K145" s="10"/>
      <c r="L145" s="10"/>
      <c r="M145" s="10"/>
      <c r="N145" s="10"/>
    </row>
    <row r="146" customFormat="false" ht="23.85" hidden="false" customHeight="false" outlineLevel="0" collapsed="false">
      <c r="A146" s="9" t="s">
        <v>464</v>
      </c>
      <c r="B146" s="9" t="s">
        <v>327</v>
      </c>
      <c r="C146" s="9" t="s">
        <v>465</v>
      </c>
      <c r="D146" s="9" t="s">
        <v>128</v>
      </c>
      <c r="E146" s="9" t="s">
        <v>129</v>
      </c>
      <c r="F146" s="9" t="s">
        <v>151</v>
      </c>
      <c r="G146" s="9" t="s">
        <v>372</v>
      </c>
      <c r="H146" s="9" t="s">
        <v>274</v>
      </c>
      <c r="I146" s="10"/>
      <c r="J146" s="10"/>
      <c r="K146" s="10"/>
      <c r="L146" s="10"/>
      <c r="M146" s="10"/>
      <c r="N146" s="10"/>
    </row>
    <row r="147" customFormat="false" ht="23.85" hidden="false" customHeight="false" outlineLevel="0" collapsed="false">
      <c r="A147" s="9" t="s">
        <v>466</v>
      </c>
      <c r="B147" s="9" t="s">
        <v>340</v>
      </c>
      <c r="C147" s="9" t="s">
        <v>467</v>
      </c>
      <c r="D147" s="9" t="s">
        <v>128</v>
      </c>
      <c r="E147" s="9" t="s">
        <v>183</v>
      </c>
      <c r="F147" s="9" t="s">
        <v>151</v>
      </c>
      <c r="G147" s="9" t="s">
        <v>372</v>
      </c>
      <c r="H147" s="9" t="s">
        <v>274</v>
      </c>
      <c r="I147" s="10"/>
      <c r="J147" s="10"/>
      <c r="K147" s="10"/>
      <c r="L147" s="10"/>
      <c r="M147" s="10"/>
      <c r="N147" s="10"/>
    </row>
    <row r="148" customFormat="false" ht="23.85" hidden="false" customHeight="false" outlineLevel="0" collapsed="false">
      <c r="A148" s="9" t="s">
        <v>468</v>
      </c>
      <c r="B148" s="9" t="s">
        <v>340</v>
      </c>
      <c r="C148" s="9" t="s">
        <v>469</v>
      </c>
      <c r="D148" s="9" t="s">
        <v>128</v>
      </c>
      <c r="E148" s="9" t="s">
        <v>129</v>
      </c>
      <c r="F148" s="9" t="s">
        <v>144</v>
      </c>
      <c r="G148" s="9" t="s">
        <v>372</v>
      </c>
      <c r="H148" s="9" t="s">
        <v>274</v>
      </c>
      <c r="I148" s="10"/>
      <c r="J148" s="10"/>
      <c r="K148" s="10"/>
      <c r="L148" s="10"/>
      <c r="M148" s="10"/>
      <c r="N148" s="10"/>
    </row>
    <row r="149" customFormat="false" ht="23.85" hidden="false" customHeight="false" outlineLevel="0" collapsed="false">
      <c r="A149" s="9" t="s">
        <v>470</v>
      </c>
      <c r="B149" s="9" t="s">
        <v>340</v>
      </c>
      <c r="C149" s="9" t="s">
        <v>471</v>
      </c>
      <c r="D149" s="9" t="s">
        <v>128</v>
      </c>
      <c r="E149" s="9" t="s">
        <v>129</v>
      </c>
      <c r="F149" s="9" t="s">
        <v>151</v>
      </c>
      <c r="G149" s="9" t="s">
        <v>372</v>
      </c>
      <c r="H149" s="9" t="s">
        <v>274</v>
      </c>
      <c r="I149" s="10"/>
      <c r="J149" s="10"/>
      <c r="K149" s="10"/>
      <c r="L149" s="10"/>
      <c r="M149" s="10"/>
      <c r="N149" s="10"/>
    </row>
    <row r="150" customFormat="false" ht="23.85" hidden="false" customHeight="false" outlineLevel="0" collapsed="false">
      <c r="A150" s="9" t="s">
        <v>472</v>
      </c>
      <c r="B150" s="9" t="s">
        <v>345</v>
      </c>
      <c r="C150" s="9" t="s">
        <v>473</v>
      </c>
      <c r="D150" s="9" t="s">
        <v>128</v>
      </c>
      <c r="E150" s="9" t="s">
        <v>183</v>
      </c>
      <c r="F150" s="9" t="s">
        <v>151</v>
      </c>
      <c r="G150" s="9" t="s">
        <v>372</v>
      </c>
      <c r="H150" s="9" t="s">
        <v>274</v>
      </c>
      <c r="I150" s="10"/>
      <c r="J150" s="10"/>
      <c r="K150" s="10"/>
      <c r="L150" s="10"/>
      <c r="M150" s="10"/>
      <c r="N150" s="10"/>
    </row>
    <row r="151" customFormat="false" ht="23.85" hidden="false" customHeight="false" outlineLevel="0" collapsed="false">
      <c r="A151" s="9" t="s">
        <v>474</v>
      </c>
      <c r="B151" s="9" t="s">
        <v>345</v>
      </c>
      <c r="C151" s="9" t="s">
        <v>475</v>
      </c>
      <c r="D151" s="9" t="s">
        <v>128</v>
      </c>
      <c r="E151" s="9" t="s">
        <v>129</v>
      </c>
      <c r="F151" s="9" t="s">
        <v>144</v>
      </c>
      <c r="G151" s="9" t="s">
        <v>372</v>
      </c>
      <c r="H151" s="9" t="s">
        <v>274</v>
      </c>
      <c r="I151" s="10"/>
      <c r="J151" s="10"/>
      <c r="K151" s="10"/>
      <c r="L151" s="10"/>
      <c r="M151" s="10"/>
      <c r="N151" s="10"/>
    </row>
    <row r="152" customFormat="false" ht="23.85" hidden="false" customHeight="false" outlineLevel="0" collapsed="false">
      <c r="A152" s="9" t="s">
        <v>476</v>
      </c>
      <c r="B152" s="9" t="s">
        <v>345</v>
      </c>
      <c r="C152" s="9" t="s">
        <v>477</v>
      </c>
      <c r="D152" s="9" t="s">
        <v>128</v>
      </c>
      <c r="E152" s="9" t="s">
        <v>129</v>
      </c>
      <c r="F152" s="9" t="s">
        <v>151</v>
      </c>
      <c r="G152" s="9" t="s">
        <v>372</v>
      </c>
      <c r="H152" s="9" t="s">
        <v>274</v>
      </c>
      <c r="I152" s="10"/>
      <c r="J152" s="10"/>
      <c r="K152" s="10"/>
      <c r="L152" s="10"/>
      <c r="M152" s="10"/>
      <c r="N152" s="10"/>
    </row>
    <row r="153" customFormat="false" ht="23.85" hidden="false" customHeight="false" outlineLevel="0" collapsed="false">
      <c r="A153" s="9" t="s">
        <v>478</v>
      </c>
      <c r="B153" s="9" t="s">
        <v>345</v>
      </c>
      <c r="C153" s="9" t="s">
        <v>479</v>
      </c>
      <c r="D153" s="9" t="s">
        <v>128</v>
      </c>
      <c r="E153" s="9" t="s">
        <v>237</v>
      </c>
      <c r="F153" s="9" t="s">
        <v>144</v>
      </c>
      <c r="G153" s="9" t="s">
        <v>372</v>
      </c>
      <c r="H153" s="9" t="s">
        <v>274</v>
      </c>
      <c r="I153" s="10"/>
      <c r="J153" s="10"/>
      <c r="K153" s="10"/>
      <c r="L153" s="10"/>
      <c r="M153" s="10"/>
      <c r="N153" s="10"/>
    </row>
    <row r="154" customFormat="false" ht="23.85" hidden="false" customHeight="false" outlineLevel="0" collapsed="false">
      <c r="A154" s="9" t="s">
        <v>480</v>
      </c>
      <c r="B154" s="9" t="s">
        <v>348</v>
      </c>
      <c r="C154" s="9" t="s">
        <v>481</v>
      </c>
      <c r="D154" s="9" t="s">
        <v>128</v>
      </c>
      <c r="E154" s="9" t="s">
        <v>129</v>
      </c>
      <c r="F154" s="9" t="s">
        <v>144</v>
      </c>
      <c r="G154" s="9" t="s">
        <v>372</v>
      </c>
      <c r="H154" s="9" t="s">
        <v>274</v>
      </c>
      <c r="I154" s="10"/>
      <c r="J154" s="10"/>
      <c r="K154" s="10"/>
      <c r="L154" s="10"/>
      <c r="M154" s="10"/>
      <c r="N154" s="10"/>
    </row>
    <row r="155" customFormat="false" ht="23.85" hidden="false" customHeight="false" outlineLevel="0" collapsed="false">
      <c r="A155" s="9" t="s">
        <v>482</v>
      </c>
      <c r="B155" s="9" t="s">
        <v>348</v>
      </c>
      <c r="C155" s="9" t="s">
        <v>483</v>
      </c>
      <c r="D155" s="9" t="s">
        <v>128</v>
      </c>
      <c r="E155" s="9" t="s">
        <v>129</v>
      </c>
      <c r="F155" s="9" t="s">
        <v>151</v>
      </c>
      <c r="G155" s="9" t="s">
        <v>372</v>
      </c>
      <c r="H155" s="9" t="s">
        <v>274</v>
      </c>
      <c r="I155" s="10"/>
      <c r="J155" s="10"/>
      <c r="K155" s="10"/>
      <c r="L155" s="10"/>
      <c r="M155" s="10"/>
      <c r="N155" s="10"/>
    </row>
    <row r="156" customFormat="false" ht="23.85" hidden="false" customHeight="false" outlineLevel="0" collapsed="false">
      <c r="A156" s="9" t="s">
        <v>484</v>
      </c>
      <c r="B156" s="9" t="s">
        <v>348</v>
      </c>
      <c r="C156" s="9" t="s">
        <v>485</v>
      </c>
      <c r="D156" s="9" t="s">
        <v>128</v>
      </c>
      <c r="E156" s="9" t="s">
        <v>129</v>
      </c>
      <c r="F156" s="9" t="s">
        <v>151</v>
      </c>
      <c r="G156" s="9" t="s">
        <v>372</v>
      </c>
      <c r="H156" s="9" t="s">
        <v>274</v>
      </c>
      <c r="I156" s="10"/>
      <c r="J156" s="10"/>
      <c r="K156" s="10"/>
      <c r="L156" s="10"/>
      <c r="M156" s="10"/>
      <c r="N156" s="10"/>
    </row>
    <row r="157" customFormat="false" ht="23.85" hidden="false" customHeight="false" outlineLevel="0" collapsed="false">
      <c r="A157" s="9" t="s">
        <v>486</v>
      </c>
      <c r="B157" s="9" t="s">
        <v>351</v>
      </c>
      <c r="C157" s="9" t="s">
        <v>487</v>
      </c>
      <c r="D157" s="9" t="s">
        <v>128</v>
      </c>
      <c r="E157" s="9" t="s">
        <v>129</v>
      </c>
      <c r="F157" s="9" t="s">
        <v>144</v>
      </c>
      <c r="G157" s="9" t="s">
        <v>372</v>
      </c>
      <c r="H157" s="9" t="s">
        <v>274</v>
      </c>
      <c r="I157" s="10"/>
      <c r="J157" s="10"/>
      <c r="K157" s="10"/>
      <c r="L157" s="10"/>
      <c r="M157" s="10"/>
      <c r="N157" s="10"/>
    </row>
    <row r="158" customFormat="false" ht="23.85" hidden="false" customHeight="false" outlineLevel="0" collapsed="false">
      <c r="A158" s="9" t="s">
        <v>488</v>
      </c>
      <c r="B158" s="9" t="s">
        <v>351</v>
      </c>
      <c r="C158" s="9" t="s">
        <v>489</v>
      </c>
      <c r="D158" s="9" t="s">
        <v>128</v>
      </c>
      <c r="E158" s="9" t="s">
        <v>226</v>
      </c>
      <c r="F158" s="9" t="s">
        <v>144</v>
      </c>
      <c r="G158" s="9" t="s">
        <v>372</v>
      </c>
      <c r="H158" s="9" t="s">
        <v>274</v>
      </c>
      <c r="I158" s="10"/>
      <c r="J158" s="10"/>
      <c r="K158" s="10"/>
      <c r="L158" s="10"/>
      <c r="M158" s="10"/>
      <c r="N158" s="10"/>
    </row>
    <row r="159" customFormat="false" ht="23.85" hidden="false" customHeight="false" outlineLevel="0" collapsed="false">
      <c r="A159" s="9" t="s">
        <v>490</v>
      </c>
      <c r="B159" s="9" t="s">
        <v>351</v>
      </c>
      <c r="C159" s="9" t="s">
        <v>419</v>
      </c>
      <c r="D159" s="9" t="s">
        <v>128</v>
      </c>
      <c r="E159" s="9" t="s">
        <v>226</v>
      </c>
      <c r="F159" s="9" t="s">
        <v>144</v>
      </c>
      <c r="G159" s="9" t="s">
        <v>372</v>
      </c>
      <c r="H159" s="9" t="s">
        <v>274</v>
      </c>
      <c r="I159" s="10"/>
      <c r="J159" s="10"/>
      <c r="K159" s="10"/>
      <c r="L159" s="10"/>
      <c r="M159" s="10"/>
      <c r="N159" s="10"/>
    </row>
    <row r="160" customFormat="false" ht="23.85" hidden="false" customHeight="false" outlineLevel="0" collapsed="false">
      <c r="A160" s="9" t="s">
        <v>491</v>
      </c>
      <c r="B160" s="9" t="s">
        <v>351</v>
      </c>
      <c r="C160" s="9" t="s">
        <v>492</v>
      </c>
      <c r="D160" s="9" t="s">
        <v>128</v>
      </c>
      <c r="E160" s="9" t="s">
        <v>143</v>
      </c>
      <c r="F160" s="9" t="s">
        <v>151</v>
      </c>
      <c r="G160" s="9" t="s">
        <v>372</v>
      </c>
      <c r="H160" s="9" t="s">
        <v>274</v>
      </c>
      <c r="I160" s="10"/>
      <c r="J160" s="10"/>
      <c r="K160" s="10"/>
      <c r="L160" s="10"/>
      <c r="M160" s="10"/>
      <c r="N160" s="10"/>
    </row>
    <row r="161" customFormat="false" ht="23.85" hidden="false" customHeight="false" outlineLevel="0" collapsed="false">
      <c r="A161" s="9" t="s">
        <v>493</v>
      </c>
      <c r="B161" s="9" t="s">
        <v>351</v>
      </c>
      <c r="C161" s="9" t="s">
        <v>494</v>
      </c>
      <c r="D161" s="9" t="s">
        <v>128</v>
      </c>
      <c r="E161" s="9" t="s">
        <v>226</v>
      </c>
      <c r="F161" s="9" t="s">
        <v>144</v>
      </c>
      <c r="G161" s="9" t="s">
        <v>372</v>
      </c>
      <c r="H161" s="9" t="s">
        <v>274</v>
      </c>
      <c r="I161" s="10"/>
      <c r="J161" s="10"/>
      <c r="K161" s="10"/>
      <c r="L161" s="10"/>
      <c r="M161" s="10"/>
      <c r="N161" s="10"/>
    </row>
    <row r="162" customFormat="false" ht="23.85" hidden="false" customHeight="false" outlineLevel="0" collapsed="false">
      <c r="A162" s="9" t="s">
        <v>495</v>
      </c>
      <c r="B162" s="9" t="s">
        <v>351</v>
      </c>
      <c r="C162" s="9" t="s">
        <v>496</v>
      </c>
      <c r="D162" s="9" t="s">
        <v>128</v>
      </c>
      <c r="E162" s="9" t="s">
        <v>129</v>
      </c>
      <c r="F162" s="9" t="s">
        <v>144</v>
      </c>
      <c r="G162" s="9" t="s">
        <v>372</v>
      </c>
      <c r="H162" s="9" t="s">
        <v>274</v>
      </c>
      <c r="I162" s="10"/>
      <c r="J162" s="10"/>
      <c r="K162" s="10"/>
      <c r="L162" s="10"/>
      <c r="M162" s="10"/>
      <c r="N162" s="10"/>
    </row>
    <row r="163" customFormat="false" ht="23.85" hidden="false" customHeight="false" outlineLevel="0" collapsed="false">
      <c r="A163" s="9" t="s">
        <v>497</v>
      </c>
      <c r="B163" s="9" t="s">
        <v>498</v>
      </c>
      <c r="C163" s="9" t="s">
        <v>499</v>
      </c>
      <c r="D163" s="9" t="s">
        <v>128</v>
      </c>
      <c r="E163" s="9" t="s">
        <v>129</v>
      </c>
      <c r="F163" s="9" t="s">
        <v>144</v>
      </c>
      <c r="G163" s="9" t="s">
        <v>372</v>
      </c>
      <c r="H163" s="9" t="s">
        <v>274</v>
      </c>
      <c r="I163" s="10"/>
      <c r="J163" s="10"/>
      <c r="K163" s="10"/>
      <c r="L163" s="10"/>
      <c r="M163" s="10"/>
      <c r="N163" s="10"/>
    </row>
    <row r="164" customFormat="false" ht="23.85" hidden="false" customHeight="false" outlineLevel="0" collapsed="false">
      <c r="A164" s="9" t="s">
        <v>500</v>
      </c>
      <c r="B164" s="9" t="s">
        <v>498</v>
      </c>
      <c r="C164" s="9" t="s">
        <v>501</v>
      </c>
      <c r="D164" s="9" t="s">
        <v>128</v>
      </c>
      <c r="E164" s="9" t="s">
        <v>226</v>
      </c>
      <c r="F164" s="9" t="s">
        <v>144</v>
      </c>
      <c r="G164" s="9" t="s">
        <v>372</v>
      </c>
      <c r="H164" s="9" t="s">
        <v>274</v>
      </c>
      <c r="I164" s="10"/>
      <c r="J164" s="10"/>
      <c r="K164" s="10"/>
      <c r="L164" s="10"/>
      <c r="M164" s="10"/>
      <c r="N164" s="10"/>
    </row>
    <row r="165" customFormat="false" ht="23.85" hidden="false" customHeight="false" outlineLevel="0" collapsed="false">
      <c r="A165" s="9" t="s">
        <v>502</v>
      </c>
      <c r="B165" s="9" t="s">
        <v>503</v>
      </c>
      <c r="C165" s="9" t="s">
        <v>504</v>
      </c>
      <c r="D165" s="9" t="s">
        <v>128</v>
      </c>
      <c r="E165" s="9" t="s">
        <v>143</v>
      </c>
      <c r="F165" s="9" t="s">
        <v>151</v>
      </c>
      <c r="G165" s="9" t="s">
        <v>372</v>
      </c>
      <c r="H165" s="9" t="s">
        <v>274</v>
      </c>
      <c r="I165" s="10"/>
      <c r="J165" s="10"/>
      <c r="K165" s="10"/>
      <c r="L165" s="10"/>
      <c r="M165" s="10"/>
      <c r="N165" s="10"/>
    </row>
    <row r="166" customFormat="false" ht="23.85" hidden="false" customHeight="false" outlineLevel="0" collapsed="false">
      <c r="A166" s="9" t="s">
        <v>505</v>
      </c>
      <c r="B166" s="9" t="s">
        <v>139</v>
      </c>
      <c r="C166" s="9" t="s">
        <v>506</v>
      </c>
      <c r="D166" s="9" t="s">
        <v>150</v>
      </c>
      <c r="E166" s="9" t="s">
        <v>129</v>
      </c>
      <c r="F166" s="9" t="s">
        <v>151</v>
      </c>
      <c r="G166" s="9" t="s">
        <v>507</v>
      </c>
      <c r="H166" s="9" t="s">
        <v>274</v>
      </c>
      <c r="I166" s="10"/>
      <c r="J166" s="10"/>
      <c r="K166" s="10"/>
      <c r="L166" s="10"/>
      <c r="M166" s="10"/>
      <c r="N166" s="10"/>
    </row>
    <row r="167" customFormat="false" ht="23.85" hidden="false" customHeight="false" outlineLevel="0" collapsed="false">
      <c r="A167" s="9" t="s">
        <v>508</v>
      </c>
      <c r="B167" s="9" t="s">
        <v>139</v>
      </c>
      <c r="C167" s="9" t="s">
        <v>509</v>
      </c>
      <c r="D167" s="9" t="s">
        <v>510</v>
      </c>
      <c r="E167" s="9" t="s">
        <v>129</v>
      </c>
      <c r="F167" s="9" t="s">
        <v>151</v>
      </c>
      <c r="G167" s="9" t="s">
        <v>507</v>
      </c>
      <c r="H167" s="9" t="s">
        <v>274</v>
      </c>
      <c r="I167" s="10"/>
      <c r="J167" s="10"/>
      <c r="K167" s="10"/>
      <c r="L167" s="10"/>
      <c r="M167" s="10"/>
      <c r="N167" s="10"/>
    </row>
    <row r="168" customFormat="false" ht="23.85" hidden="false" customHeight="false" outlineLevel="0" collapsed="false">
      <c r="A168" s="9" t="s">
        <v>511</v>
      </c>
      <c r="B168" s="9" t="s">
        <v>139</v>
      </c>
      <c r="C168" s="9" t="s">
        <v>512</v>
      </c>
      <c r="D168" s="9" t="s">
        <v>510</v>
      </c>
      <c r="E168" s="9" t="s">
        <v>226</v>
      </c>
      <c r="F168" s="9" t="s">
        <v>144</v>
      </c>
      <c r="G168" s="9" t="s">
        <v>507</v>
      </c>
      <c r="H168" s="9" t="s">
        <v>274</v>
      </c>
      <c r="I168" s="10"/>
      <c r="J168" s="10"/>
      <c r="K168" s="10"/>
      <c r="L168" s="10"/>
      <c r="M168" s="10"/>
      <c r="N168" s="10"/>
    </row>
    <row r="169" customFormat="false" ht="23.85" hidden="false" customHeight="false" outlineLevel="0" collapsed="false">
      <c r="A169" s="9" t="s">
        <v>513</v>
      </c>
      <c r="B169" s="9" t="s">
        <v>139</v>
      </c>
      <c r="C169" s="9" t="s">
        <v>514</v>
      </c>
      <c r="D169" s="9" t="s">
        <v>150</v>
      </c>
      <c r="E169" s="9" t="s">
        <v>129</v>
      </c>
      <c r="F169" s="9" t="s">
        <v>151</v>
      </c>
      <c r="G169" s="9" t="s">
        <v>507</v>
      </c>
      <c r="H169" s="9" t="s">
        <v>274</v>
      </c>
      <c r="I169" s="10"/>
      <c r="J169" s="10"/>
      <c r="K169" s="10"/>
      <c r="L169" s="10"/>
      <c r="M169" s="10"/>
      <c r="N169" s="10"/>
    </row>
    <row r="170" customFormat="false" ht="23.85" hidden="false" customHeight="false" outlineLevel="0" collapsed="false">
      <c r="A170" s="9" t="s">
        <v>515</v>
      </c>
      <c r="B170" s="9" t="s">
        <v>139</v>
      </c>
      <c r="C170" s="9" t="s">
        <v>516</v>
      </c>
      <c r="D170" s="9" t="s">
        <v>510</v>
      </c>
      <c r="E170" s="9" t="s">
        <v>226</v>
      </c>
      <c r="F170" s="9" t="s">
        <v>144</v>
      </c>
      <c r="G170" s="9" t="s">
        <v>507</v>
      </c>
      <c r="H170" s="9" t="s">
        <v>274</v>
      </c>
      <c r="I170" s="10"/>
      <c r="J170" s="10"/>
      <c r="K170" s="10"/>
      <c r="L170" s="10"/>
      <c r="M170" s="10"/>
      <c r="N170" s="10"/>
    </row>
    <row r="171" customFormat="false" ht="23.85" hidden="false" customHeight="false" outlineLevel="0" collapsed="false">
      <c r="A171" s="9" t="s">
        <v>517</v>
      </c>
      <c r="B171" s="9" t="s">
        <v>139</v>
      </c>
      <c r="C171" s="9" t="s">
        <v>518</v>
      </c>
      <c r="D171" s="9" t="s">
        <v>510</v>
      </c>
      <c r="E171" s="9" t="s">
        <v>226</v>
      </c>
      <c r="F171" s="9" t="s">
        <v>144</v>
      </c>
      <c r="G171" s="9" t="s">
        <v>507</v>
      </c>
      <c r="H171" s="9" t="s">
        <v>274</v>
      </c>
      <c r="I171" s="10"/>
      <c r="J171" s="10"/>
      <c r="K171" s="10"/>
      <c r="L171" s="10"/>
      <c r="M171" s="10"/>
      <c r="N171" s="10"/>
    </row>
    <row r="172" customFormat="false" ht="23.85" hidden="false" customHeight="false" outlineLevel="0" collapsed="false">
      <c r="A172" s="9" t="s">
        <v>519</v>
      </c>
      <c r="B172" s="9" t="s">
        <v>139</v>
      </c>
      <c r="C172" s="9" t="s">
        <v>520</v>
      </c>
      <c r="D172" s="9" t="s">
        <v>150</v>
      </c>
      <c r="E172" s="9" t="s">
        <v>129</v>
      </c>
      <c r="F172" s="9" t="s">
        <v>151</v>
      </c>
      <c r="G172" s="9" t="s">
        <v>507</v>
      </c>
      <c r="H172" s="9" t="s">
        <v>274</v>
      </c>
      <c r="I172" s="10"/>
      <c r="J172" s="10"/>
      <c r="K172" s="10"/>
      <c r="L172" s="10"/>
      <c r="M172" s="10"/>
      <c r="N172" s="10"/>
    </row>
    <row r="173" customFormat="false" ht="23.85" hidden="false" customHeight="false" outlineLevel="0" collapsed="false">
      <c r="A173" s="9" t="s">
        <v>521</v>
      </c>
      <c r="B173" s="9" t="s">
        <v>139</v>
      </c>
      <c r="C173" s="9" t="s">
        <v>522</v>
      </c>
      <c r="D173" s="9" t="s">
        <v>510</v>
      </c>
      <c r="E173" s="9" t="s">
        <v>129</v>
      </c>
      <c r="F173" s="9" t="s">
        <v>151</v>
      </c>
      <c r="G173" s="9" t="s">
        <v>507</v>
      </c>
      <c r="H173" s="9" t="s">
        <v>274</v>
      </c>
      <c r="I173" s="10"/>
      <c r="J173" s="10"/>
      <c r="K173" s="10"/>
      <c r="L173" s="10"/>
      <c r="M173" s="10"/>
      <c r="N173" s="10"/>
    </row>
    <row r="174" customFormat="false" ht="23.85" hidden="false" customHeight="false" outlineLevel="0" collapsed="false">
      <c r="A174" s="9" t="s">
        <v>523</v>
      </c>
      <c r="B174" s="9" t="s">
        <v>139</v>
      </c>
      <c r="C174" s="9" t="s">
        <v>524</v>
      </c>
      <c r="D174" s="9" t="s">
        <v>150</v>
      </c>
      <c r="E174" s="9" t="s">
        <v>129</v>
      </c>
      <c r="F174" s="9" t="s">
        <v>151</v>
      </c>
      <c r="G174" s="9" t="s">
        <v>507</v>
      </c>
      <c r="H174" s="9" t="s">
        <v>274</v>
      </c>
      <c r="I174" s="10"/>
      <c r="J174" s="10"/>
      <c r="K174" s="10"/>
      <c r="L174" s="10"/>
      <c r="M174" s="10"/>
      <c r="N174" s="10"/>
    </row>
    <row r="175" customFormat="false" ht="23.85" hidden="false" customHeight="false" outlineLevel="0" collapsed="false">
      <c r="A175" s="9" t="s">
        <v>525</v>
      </c>
      <c r="B175" s="9" t="s">
        <v>139</v>
      </c>
      <c r="C175" s="9" t="s">
        <v>526</v>
      </c>
      <c r="D175" s="9" t="s">
        <v>150</v>
      </c>
      <c r="E175" s="9" t="s">
        <v>129</v>
      </c>
      <c r="F175" s="9" t="s">
        <v>151</v>
      </c>
      <c r="G175" s="9" t="s">
        <v>507</v>
      </c>
      <c r="H175" s="9" t="s">
        <v>274</v>
      </c>
      <c r="I175" s="10"/>
      <c r="J175" s="10"/>
      <c r="K175" s="10"/>
      <c r="L175" s="10"/>
      <c r="M175" s="10"/>
      <c r="N175" s="10"/>
    </row>
    <row r="176" customFormat="false" ht="23.85" hidden="false" customHeight="false" outlineLevel="0" collapsed="false">
      <c r="A176" s="9" t="s">
        <v>527</v>
      </c>
      <c r="B176" s="9" t="s">
        <v>139</v>
      </c>
      <c r="C176" s="9" t="s">
        <v>528</v>
      </c>
      <c r="D176" s="9" t="s">
        <v>510</v>
      </c>
      <c r="E176" s="9" t="s">
        <v>183</v>
      </c>
      <c r="F176" s="9" t="s">
        <v>144</v>
      </c>
      <c r="G176" s="9" t="s">
        <v>507</v>
      </c>
      <c r="H176" s="9" t="s">
        <v>274</v>
      </c>
      <c r="I176" s="10"/>
      <c r="J176" s="10"/>
      <c r="K176" s="10"/>
      <c r="L176" s="10"/>
      <c r="M176" s="10"/>
      <c r="N176" s="10"/>
    </row>
    <row r="177" customFormat="false" ht="23.85" hidden="false" customHeight="false" outlineLevel="0" collapsed="false">
      <c r="A177" s="9" t="s">
        <v>529</v>
      </c>
      <c r="B177" s="9" t="s">
        <v>139</v>
      </c>
      <c r="C177" s="9" t="s">
        <v>530</v>
      </c>
      <c r="D177" s="9" t="s">
        <v>510</v>
      </c>
      <c r="E177" s="9" t="s">
        <v>226</v>
      </c>
      <c r="F177" s="9" t="s">
        <v>144</v>
      </c>
      <c r="G177" s="9" t="s">
        <v>507</v>
      </c>
      <c r="H177" s="9" t="s">
        <v>274</v>
      </c>
      <c r="I177" s="10"/>
      <c r="J177" s="10"/>
      <c r="K177" s="10"/>
      <c r="L177" s="10"/>
      <c r="M177" s="10"/>
      <c r="N177" s="10"/>
    </row>
    <row r="178" customFormat="false" ht="23.85" hidden="false" customHeight="false" outlineLevel="0" collapsed="false">
      <c r="A178" s="9" t="s">
        <v>531</v>
      </c>
      <c r="B178" s="9" t="s">
        <v>139</v>
      </c>
      <c r="C178" s="9" t="s">
        <v>532</v>
      </c>
      <c r="D178" s="9" t="s">
        <v>150</v>
      </c>
      <c r="E178" s="9" t="s">
        <v>226</v>
      </c>
      <c r="F178" s="9" t="s">
        <v>144</v>
      </c>
      <c r="G178" s="9" t="s">
        <v>507</v>
      </c>
      <c r="H178" s="9" t="s">
        <v>274</v>
      </c>
      <c r="I178" s="10"/>
      <c r="J178" s="10"/>
      <c r="K178" s="10"/>
      <c r="L178" s="10"/>
      <c r="M178" s="10"/>
      <c r="N178" s="10"/>
    </row>
    <row r="179" customFormat="false" ht="23.85" hidden="false" customHeight="false" outlineLevel="0" collapsed="false">
      <c r="A179" s="9" t="s">
        <v>533</v>
      </c>
      <c r="B179" s="9" t="s">
        <v>139</v>
      </c>
      <c r="C179" s="9" t="s">
        <v>534</v>
      </c>
      <c r="D179" s="9" t="s">
        <v>510</v>
      </c>
      <c r="E179" s="9" t="s">
        <v>226</v>
      </c>
      <c r="F179" s="9" t="s">
        <v>144</v>
      </c>
      <c r="G179" s="9" t="s">
        <v>507</v>
      </c>
      <c r="H179" s="9" t="s">
        <v>274</v>
      </c>
      <c r="I179" s="10"/>
      <c r="J179" s="10"/>
      <c r="K179" s="10"/>
      <c r="L179" s="10"/>
      <c r="M179" s="10"/>
      <c r="N179" s="10"/>
    </row>
    <row r="180" customFormat="false" ht="23.85" hidden="false" customHeight="false" outlineLevel="0" collapsed="false">
      <c r="A180" s="9" t="s">
        <v>535</v>
      </c>
      <c r="B180" s="9" t="s">
        <v>158</v>
      </c>
      <c r="C180" s="9" t="s">
        <v>536</v>
      </c>
      <c r="D180" s="9" t="s">
        <v>150</v>
      </c>
      <c r="E180" s="9" t="s">
        <v>129</v>
      </c>
      <c r="F180" s="9" t="s">
        <v>144</v>
      </c>
      <c r="G180" s="9" t="s">
        <v>507</v>
      </c>
      <c r="H180" s="9" t="s">
        <v>274</v>
      </c>
      <c r="I180" s="10"/>
      <c r="J180" s="10"/>
      <c r="K180" s="10"/>
      <c r="L180" s="10"/>
      <c r="M180" s="10"/>
      <c r="N180" s="10"/>
    </row>
    <row r="181" customFormat="false" ht="23.85" hidden="false" customHeight="false" outlineLevel="0" collapsed="false">
      <c r="A181" s="9" t="s">
        <v>537</v>
      </c>
      <c r="B181" s="9" t="s">
        <v>158</v>
      </c>
      <c r="C181" s="9" t="s">
        <v>538</v>
      </c>
      <c r="D181" s="9" t="s">
        <v>150</v>
      </c>
      <c r="E181" s="9" t="s">
        <v>129</v>
      </c>
      <c r="F181" s="9" t="s">
        <v>151</v>
      </c>
      <c r="G181" s="9" t="s">
        <v>507</v>
      </c>
      <c r="H181" s="9" t="s">
        <v>274</v>
      </c>
      <c r="I181" s="10"/>
      <c r="J181" s="10"/>
      <c r="K181" s="10"/>
      <c r="L181" s="10"/>
      <c r="M181" s="10"/>
      <c r="N181" s="10"/>
    </row>
    <row r="182" customFormat="false" ht="23.85" hidden="false" customHeight="false" outlineLevel="0" collapsed="false">
      <c r="A182" s="9" t="s">
        <v>539</v>
      </c>
      <c r="B182" s="9" t="s">
        <v>158</v>
      </c>
      <c r="C182" s="9" t="s">
        <v>540</v>
      </c>
      <c r="D182" s="9" t="s">
        <v>510</v>
      </c>
      <c r="E182" s="9" t="s">
        <v>129</v>
      </c>
      <c r="F182" s="9" t="s">
        <v>144</v>
      </c>
      <c r="G182" s="9" t="s">
        <v>507</v>
      </c>
      <c r="H182" s="9" t="s">
        <v>274</v>
      </c>
      <c r="I182" s="10"/>
      <c r="J182" s="10"/>
      <c r="K182" s="10"/>
      <c r="L182" s="10"/>
      <c r="M182" s="10"/>
      <c r="N182" s="10"/>
    </row>
    <row r="183" customFormat="false" ht="23.85" hidden="false" customHeight="false" outlineLevel="0" collapsed="false">
      <c r="A183" s="9" t="s">
        <v>541</v>
      </c>
      <c r="B183" s="9" t="s">
        <v>158</v>
      </c>
      <c r="C183" s="9" t="s">
        <v>542</v>
      </c>
      <c r="D183" s="9" t="s">
        <v>150</v>
      </c>
      <c r="E183" s="9" t="s">
        <v>226</v>
      </c>
      <c r="F183" s="9" t="s">
        <v>144</v>
      </c>
      <c r="G183" s="9" t="s">
        <v>507</v>
      </c>
      <c r="H183" s="9" t="s">
        <v>274</v>
      </c>
      <c r="I183" s="10"/>
      <c r="J183" s="10"/>
      <c r="K183" s="10"/>
      <c r="L183" s="10"/>
      <c r="M183" s="10"/>
      <c r="N183" s="10"/>
    </row>
    <row r="184" customFormat="false" ht="23.85" hidden="false" customHeight="false" outlineLevel="0" collapsed="false">
      <c r="A184" s="9" t="s">
        <v>543</v>
      </c>
      <c r="B184" s="9" t="s">
        <v>158</v>
      </c>
      <c r="C184" s="9" t="s">
        <v>544</v>
      </c>
      <c r="D184" s="9" t="s">
        <v>150</v>
      </c>
      <c r="E184" s="9" t="s">
        <v>226</v>
      </c>
      <c r="F184" s="9" t="s">
        <v>144</v>
      </c>
      <c r="G184" s="9" t="s">
        <v>507</v>
      </c>
      <c r="H184" s="9" t="s">
        <v>274</v>
      </c>
      <c r="I184" s="10"/>
      <c r="J184" s="10"/>
      <c r="K184" s="10"/>
      <c r="L184" s="10"/>
      <c r="M184" s="10"/>
      <c r="N184" s="10"/>
    </row>
    <row r="185" customFormat="false" ht="23.85" hidden="false" customHeight="false" outlineLevel="0" collapsed="false">
      <c r="A185" s="9" t="s">
        <v>545</v>
      </c>
      <c r="B185" s="9" t="s">
        <v>158</v>
      </c>
      <c r="C185" s="9" t="s">
        <v>546</v>
      </c>
      <c r="D185" s="9" t="s">
        <v>510</v>
      </c>
      <c r="E185" s="9" t="s">
        <v>226</v>
      </c>
      <c r="F185" s="9" t="s">
        <v>144</v>
      </c>
      <c r="G185" s="9" t="s">
        <v>507</v>
      </c>
      <c r="H185" s="9" t="s">
        <v>274</v>
      </c>
      <c r="I185" s="10"/>
      <c r="J185" s="10"/>
      <c r="K185" s="10"/>
      <c r="L185" s="10"/>
      <c r="M185" s="10"/>
      <c r="N185" s="10"/>
    </row>
    <row r="186" customFormat="false" ht="23.85" hidden="false" customHeight="false" outlineLevel="0" collapsed="false">
      <c r="A186" s="9" t="s">
        <v>547</v>
      </c>
      <c r="B186" s="9" t="s">
        <v>158</v>
      </c>
      <c r="C186" s="9" t="s">
        <v>548</v>
      </c>
      <c r="D186" s="9" t="s">
        <v>150</v>
      </c>
      <c r="E186" s="9" t="s">
        <v>273</v>
      </c>
      <c r="F186" s="9" t="s">
        <v>154</v>
      </c>
      <c r="G186" s="9" t="s">
        <v>507</v>
      </c>
      <c r="H186" s="9" t="s">
        <v>274</v>
      </c>
      <c r="I186" s="10"/>
      <c r="J186" s="10"/>
      <c r="K186" s="10"/>
      <c r="L186" s="10"/>
      <c r="M186" s="10"/>
      <c r="N186" s="10"/>
    </row>
    <row r="187" customFormat="false" ht="23.85" hidden="false" customHeight="false" outlineLevel="0" collapsed="false">
      <c r="A187" s="9" t="s">
        <v>549</v>
      </c>
      <c r="B187" s="9" t="s">
        <v>158</v>
      </c>
      <c r="C187" s="9" t="s">
        <v>550</v>
      </c>
      <c r="D187" s="9" t="s">
        <v>510</v>
      </c>
      <c r="E187" s="9" t="s">
        <v>129</v>
      </c>
      <c r="F187" s="9" t="s">
        <v>144</v>
      </c>
      <c r="G187" s="9" t="s">
        <v>507</v>
      </c>
      <c r="H187" s="9" t="s">
        <v>274</v>
      </c>
      <c r="I187" s="10"/>
      <c r="J187" s="10"/>
      <c r="K187" s="10"/>
      <c r="L187" s="10"/>
      <c r="M187" s="10"/>
      <c r="N187" s="10"/>
    </row>
    <row r="188" customFormat="false" ht="23.85" hidden="false" customHeight="false" outlineLevel="0" collapsed="false">
      <c r="A188" s="9" t="s">
        <v>551</v>
      </c>
      <c r="B188" s="9" t="s">
        <v>165</v>
      </c>
      <c r="C188" s="9" t="s">
        <v>552</v>
      </c>
      <c r="D188" s="9" t="s">
        <v>150</v>
      </c>
      <c r="E188" s="9" t="s">
        <v>129</v>
      </c>
      <c r="F188" s="9" t="s">
        <v>130</v>
      </c>
      <c r="G188" s="9" t="s">
        <v>507</v>
      </c>
      <c r="H188" s="9" t="s">
        <v>140</v>
      </c>
      <c r="I188" s="10"/>
      <c r="J188" s="10"/>
      <c r="K188" s="10"/>
      <c r="L188" s="10"/>
      <c r="M188" s="10"/>
      <c r="N188" s="10"/>
    </row>
    <row r="189" customFormat="false" ht="23.85" hidden="false" customHeight="false" outlineLevel="0" collapsed="false">
      <c r="A189" s="9" t="s">
        <v>553</v>
      </c>
      <c r="B189" s="9" t="s">
        <v>165</v>
      </c>
      <c r="C189" s="9" t="s">
        <v>554</v>
      </c>
      <c r="D189" s="9" t="s">
        <v>150</v>
      </c>
      <c r="E189" s="9" t="s">
        <v>129</v>
      </c>
      <c r="F189" s="9" t="s">
        <v>144</v>
      </c>
      <c r="G189" s="9" t="s">
        <v>507</v>
      </c>
      <c r="H189" s="9" t="s">
        <v>274</v>
      </c>
      <c r="I189" s="10"/>
      <c r="J189" s="10"/>
      <c r="K189" s="10"/>
      <c r="L189" s="10"/>
      <c r="M189" s="10"/>
      <c r="N189" s="10"/>
    </row>
    <row r="190" customFormat="false" ht="23.85" hidden="false" customHeight="false" outlineLevel="0" collapsed="false">
      <c r="A190" s="9" t="s">
        <v>555</v>
      </c>
      <c r="B190" s="9" t="s">
        <v>165</v>
      </c>
      <c r="C190" s="9" t="s">
        <v>556</v>
      </c>
      <c r="D190" s="9" t="s">
        <v>150</v>
      </c>
      <c r="E190" s="9" t="s">
        <v>129</v>
      </c>
      <c r="F190" s="9" t="s">
        <v>144</v>
      </c>
      <c r="G190" s="9" t="s">
        <v>507</v>
      </c>
      <c r="H190" s="9" t="s">
        <v>274</v>
      </c>
      <c r="I190" s="10"/>
      <c r="J190" s="10"/>
      <c r="K190" s="10"/>
      <c r="L190" s="10"/>
      <c r="M190" s="10"/>
      <c r="N190" s="10"/>
    </row>
    <row r="191" customFormat="false" ht="23.85" hidden="false" customHeight="false" outlineLevel="0" collapsed="false">
      <c r="A191" s="9" t="s">
        <v>557</v>
      </c>
      <c r="B191" s="9" t="s">
        <v>165</v>
      </c>
      <c r="C191" s="9" t="s">
        <v>558</v>
      </c>
      <c r="D191" s="9" t="s">
        <v>150</v>
      </c>
      <c r="E191" s="9" t="s">
        <v>129</v>
      </c>
      <c r="F191" s="9" t="s">
        <v>151</v>
      </c>
      <c r="G191" s="9" t="s">
        <v>507</v>
      </c>
      <c r="H191" s="9" t="s">
        <v>274</v>
      </c>
      <c r="I191" s="10"/>
      <c r="J191" s="10"/>
      <c r="K191" s="10"/>
      <c r="L191" s="10"/>
      <c r="M191" s="10"/>
      <c r="N191" s="10"/>
    </row>
    <row r="192" customFormat="false" ht="23.85" hidden="false" customHeight="false" outlineLevel="0" collapsed="false">
      <c r="A192" s="9" t="s">
        <v>559</v>
      </c>
      <c r="B192" s="9" t="s">
        <v>165</v>
      </c>
      <c r="C192" s="9" t="s">
        <v>560</v>
      </c>
      <c r="D192" s="9" t="s">
        <v>150</v>
      </c>
      <c r="E192" s="9" t="s">
        <v>129</v>
      </c>
      <c r="F192" s="9" t="s">
        <v>144</v>
      </c>
      <c r="G192" s="9" t="s">
        <v>507</v>
      </c>
      <c r="H192" s="9" t="s">
        <v>274</v>
      </c>
      <c r="I192" s="10"/>
      <c r="J192" s="10"/>
      <c r="K192" s="10"/>
      <c r="L192" s="10"/>
      <c r="M192" s="10"/>
      <c r="N192" s="10"/>
    </row>
    <row r="193" customFormat="false" ht="23.85" hidden="false" customHeight="false" outlineLevel="0" collapsed="false">
      <c r="A193" s="9" t="s">
        <v>561</v>
      </c>
      <c r="B193" s="9" t="s">
        <v>165</v>
      </c>
      <c r="C193" s="9" t="s">
        <v>562</v>
      </c>
      <c r="D193" s="9" t="s">
        <v>150</v>
      </c>
      <c r="E193" s="9" t="s">
        <v>129</v>
      </c>
      <c r="F193" s="9" t="s">
        <v>130</v>
      </c>
      <c r="G193" s="9" t="s">
        <v>507</v>
      </c>
      <c r="H193" s="9" t="s">
        <v>140</v>
      </c>
      <c r="I193" s="10"/>
      <c r="J193" s="10"/>
      <c r="K193" s="10"/>
      <c r="L193" s="10"/>
      <c r="M193" s="10"/>
      <c r="N193" s="10"/>
    </row>
    <row r="194" customFormat="false" ht="23.85" hidden="false" customHeight="false" outlineLevel="0" collapsed="false">
      <c r="A194" s="9" t="s">
        <v>563</v>
      </c>
      <c r="B194" s="9" t="s">
        <v>165</v>
      </c>
      <c r="C194" s="9" t="s">
        <v>564</v>
      </c>
      <c r="D194" s="9" t="s">
        <v>150</v>
      </c>
      <c r="E194" s="9" t="s">
        <v>129</v>
      </c>
      <c r="F194" s="9" t="s">
        <v>144</v>
      </c>
      <c r="G194" s="9" t="s">
        <v>507</v>
      </c>
      <c r="H194" s="9" t="s">
        <v>274</v>
      </c>
      <c r="I194" s="10"/>
      <c r="J194" s="10"/>
      <c r="K194" s="10"/>
      <c r="L194" s="10"/>
      <c r="M194" s="10"/>
      <c r="N194" s="10"/>
    </row>
    <row r="195" customFormat="false" ht="23.85" hidden="false" customHeight="false" outlineLevel="0" collapsed="false">
      <c r="A195" s="9" t="s">
        <v>565</v>
      </c>
      <c r="B195" s="9" t="s">
        <v>165</v>
      </c>
      <c r="C195" s="9" t="s">
        <v>566</v>
      </c>
      <c r="D195" s="9" t="s">
        <v>150</v>
      </c>
      <c r="E195" s="9" t="s">
        <v>129</v>
      </c>
      <c r="F195" s="9" t="s">
        <v>144</v>
      </c>
      <c r="G195" s="9" t="s">
        <v>507</v>
      </c>
      <c r="H195" s="9" t="s">
        <v>274</v>
      </c>
      <c r="I195" s="10"/>
      <c r="J195" s="10"/>
      <c r="K195" s="10"/>
      <c r="L195" s="10"/>
      <c r="M195" s="10"/>
      <c r="N195" s="10"/>
    </row>
    <row r="196" customFormat="false" ht="23.85" hidden="false" customHeight="false" outlineLevel="0" collapsed="false">
      <c r="A196" s="9" t="s">
        <v>567</v>
      </c>
      <c r="B196" s="9" t="s">
        <v>165</v>
      </c>
      <c r="C196" s="9" t="s">
        <v>568</v>
      </c>
      <c r="D196" s="9" t="s">
        <v>150</v>
      </c>
      <c r="E196" s="9" t="s">
        <v>129</v>
      </c>
      <c r="F196" s="9" t="s">
        <v>130</v>
      </c>
      <c r="G196" s="9" t="s">
        <v>507</v>
      </c>
      <c r="H196" s="9" t="s">
        <v>140</v>
      </c>
      <c r="I196" s="10"/>
      <c r="J196" s="10"/>
      <c r="K196" s="10"/>
      <c r="L196" s="10"/>
      <c r="M196" s="10"/>
      <c r="N196" s="10"/>
    </row>
    <row r="197" customFormat="false" ht="23.85" hidden="false" customHeight="false" outlineLevel="0" collapsed="false">
      <c r="A197" s="9" t="s">
        <v>569</v>
      </c>
      <c r="B197" s="9" t="s">
        <v>165</v>
      </c>
      <c r="C197" s="9" t="s">
        <v>570</v>
      </c>
      <c r="D197" s="9" t="s">
        <v>150</v>
      </c>
      <c r="E197" s="9" t="s">
        <v>129</v>
      </c>
      <c r="F197" s="9" t="s">
        <v>144</v>
      </c>
      <c r="G197" s="9" t="s">
        <v>507</v>
      </c>
      <c r="H197" s="9" t="s">
        <v>274</v>
      </c>
      <c r="I197" s="10"/>
      <c r="J197" s="10"/>
      <c r="K197" s="10"/>
      <c r="L197" s="10"/>
      <c r="M197" s="10"/>
      <c r="N197" s="10"/>
    </row>
    <row r="198" customFormat="false" ht="23.85" hidden="false" customHeight="false" outlineLevel="0" collapsed="false">
      <c r="A198" s="9" t="s">
        <v>571</v>
      </c>
      <c r="B198" s="9" t="s">
        <v>165</v>
      </c>
      <c r="C198" s="9" t="s">
        <v>572</v>
      </c>
      <c r="D198" s="9" t="s">
        <v>150</v>
      </c>
      <c r="E198" s="9" t="s">
        <v>129</v>
      </c>
      <c r="F198" s="9" t="s">
        <v>144</v>
      </c>
      <c r="G198" s="9" t="s">
        <v>507</v>
      </c>
      <c r="H198" s="9" t="s">
        <v>274</v>
      </c>
      <c r="I198" s="10"/>
      <c r="J198" s="10"/>
      <c r="K198" s="10"/>
      <c r="L198" s="10"/>
      <c r="M198" s="10"/>
      <c r="N198" s="10"/>
    </row>
    <row r="199" customFormat="false" ht="23.85" hidden="false" customHeight="false" outlineLevel="0" collapsed="false">
      <c r="A199" s="9" t="s">
        <v>573</v>
      </c>
      <c r="B199" s="9" t="s">
        <v>165</v>
      </c>
      <c r="C199" s="9" t="s">
        <v>574</v>
      </c>
      <c r="D199" s="9" t="s">
        <v>510</v>
      </c>
      <c r="E199" s="9" t="s">
        <v>226</v>
      </c>
      <c r="F199" s="9" t="s">
        <v>144</v>
      </c>
      <c r="G199" s="9" t="s">
        <v>507</v>
      </c>
      <c r="H199" s="9" t="s">
        <v>274</v>
      </c>
      <c r="I199" s="10"/>
      <c r="J199" s="10"/>
      <c r="K199" s="10"/>
      <c r="L199" s="10"/>
      <c r="M199" s="10"/>
      <c r="N199" s="10"/>
    </row>
    <row r="200" customFormat="false" ht="23.85" hidden="false" customHeight="false" outlineLevel="0" collapsed="false">
      <c r="A200" s="9" t="s">
        <v>575</v>
      </c>
      <c r="B200" s="9" t="s">
        <v>165</v>
      </c>
      <c r="C200" s="9" t="s">
        <v>576</v>
      </c>
      <c r="D200" s="9" t="s">
        <v>150</v>
      </c>
      <c r="E200" s="9" t="s">
        <v>129</v>
      </c>
      <c r="F200" s="9" t="s">
        <v>144</v>
      </c>
      <c r="G200" s="9" t="s">
        <v>507</v>
      </c>
      <c r="H200" s="9" t="s">
        <v>274</v>
      </c>
      <c r="I200" s="10"/>
      <c r="J200" s="10"/>
      <c r="K200" s="10"/>
      <c r="L200" s="10"/>
      <c r="M200" s="10"/>
      <c r="N200" s="10"/>
    </row>
    <row r="201" customFormat="false" ht="23.85" hidden="false" customHeight="false" outlineLevel="0" collapsed="false">
      <c r="A201" s="9" t="s">
        <v>577</v>
      </c>
      <c r="B201" s="9" t="s">
        <v>165</v>
      </c>
      <c r="C201" s="9" t="s">
        <v>578</v>
      </c>
      <c r="D201" s="9" t="s">
        <v>150</v>
      </c>
      <c r="E201" s="9" t="s">
        <v>183</v>
      </c>
      <c r="F201" s="9" t="s">
        <v>144</v>
      </c>
      <c r="G201" s="9" t="s">
        <v>507</v>
      </c>
      <c r="H201" s="9" t="s">
        <v>274</v>
      </c>
      <c r="I201" s="10"/>
      <c r="J201" s="10"/>
      <c r="K201" s="10"/>
      <c r="L201" s="10"/>
      <c r="M201" s="10"/>
      <c r="N201" s="10"/>
    </row>
    <row r="202" customFormat="false" ht="23.85" hidden="false" customHeight="false" outlineLevel="0" collapsed="false">
      <c r="A202" s="9" t="s">
        <v>579</v>
      </c>
      <c r="B202" s="9" t="s">
        <v>165</v>
      </c>
      <c r="C202" s="9" t="s">
        <v>580</v>
      </c>
      <c r="D202" s="9" t="s">
        <v>150</v>
      </c>
      <c r="E202" s="9" t="s">
        <v>129</v>
      </c>
      <c r="F202" s="9" t="s">
        <v>144</v>
      </c>
      <c r="G202" s="9" t="s">
        <v>507</v>
      </c>
      <c r="H202" s="9" t="s">
        <v>274</v>
      </c>
      <c r="I202" s="10"/>
      <c r="J202" s="10"/>
      <c r="K202" s="10"/>
      <c r="L202" s="10"/>
      <c r="M202" s="10"/>
      <c r="N202" s="10"/>
    </row>
    <row r="203" customFormat="false" ht="23.85" hidden="false" customHeight="false" outlineLevel="0" collapsed="false">
      <c r="A203" s="9" t="s">
        <v>581</v>
      </c>
      <c r="B203" s="9" t="s">
        <v>165</v>
      </c>
      <c r="C203" s="9" t="s">
        <v>582</v>
      </c>
      <c r="D203" s="9" t="s">
        <v>150</v>
      </c>
      <c r="E203" s="9" t="s">
        <v>129</v>
      </c>
      <c r="F203" s="9" t="s">
        <v>130</v>
      </c>
      <c r="G203" s="9" t="s">
        <v>507</v>
      </c>
      <c r="H203" s="9" t="s">
        <v>140</v>
      </c>
      <c r="I203" s="10"/>
      <c r="J203" s="10"/>
      <c r="K203" s="10"/>
      <c r="L203" s="10"/>
      <c r="M203" s="10"/>
      <c r="N203" s="10"/>
    </row>
    <row r="204" customFormat="false" ht="23.85" hidden="false" customHeight="false" outlineLevel="0" collapsed="false">
      <c r="A204" s="9" t="s">
        <v>583</v>
      </c>
      <c r="B204" s="9" t="s">
        <v>165</v>
      </c>
      <c r="C204" s="9" t="s">
        <v>584</v>
      </c>
      <c r="D204" s="9" t="s">
        <v>150</v>
      </c>
      <c r="E204" s="9" t="s">
        <v>129</v>
      </c>
      <c r="F204" s="9" t="s">
        <v>144</v>
      </c>
      <c r="G204" s="9" t="s">
        <v>507</v>
      </c>
      <c r="H204" s="9" t="s">
        <v>274</v>
      </c>
      <c r="I204" s="10"/>
      <c r="J204" s="10"/>
      <c r="K204" s="10"/>
      <c r="L204" s="10"/>
      <c r="M204" s="10"/>
      <c r="N204" s="10"/>
    </row>
    <row r="205" customFormat="false" ht="23.85" hidden="false" customHeight="false" outlineLevel="0" collapsed="false">
      <c r="A205" s="9" t="s">
        <v>585</v>
      </c>
      <c r="B205" s="9" t="s">
        <v>165</v>
      </c>
      <c r="C205" s="9" t="s">
        <v>586</v>
      </c>
      <c r="D205" s="9" t="s">
        <v>150</v>
      </c>
      <c r="E205" s="9" t="s">
        <v>129</v>
      </c>
      <c r="F205" s="9" t="s">
        <v>151</v>
      </c>
      <c r="G205" s="9" t="s">
        <v>507</v>
      </c>
      <c r="H205" s="9" t="s">
        <v>274</v>
      </c>
      <c r="I205" s="10"/>
      <c r="J205" s="10"/>
      <c r="K205" s="10"/>
      <c r="L205" s="10"/>
      <c r="M205" s="10"/>
      <c r="N205" s="10"/>
    </row>
    <row r="206" customFormat="false" ht="23.85" hidden="false" customHeight="false" outlineLevel="0" collapsed="false">
      <c r="A206" s="9" t="s">
        <v>587</v>
      </c>
      <c r="B206" s="9" t="s">
        <v>187</v>
      </c>
      <c r="C206" s="9" t="s">
        <v>588</v>
      </c>
      <c r="D206" s="9" t="s">
        <v>150</v>
      </c>
      <c r="E206" s="9" t="s">
        <v>129</v>
      </c>
      <c r="F206" s="9" t="s">
        <v>144</v>
      </c>
      <c r="G206" s="9" t="s">
        <v>507</v>
      </c>
      <c r="H206" s="9" t="s">
        <v>274</v>
      </c>
      <c r="I206" s="10"/>
      <c r="J206" s="10"/>
      <c r="K206" s="10"/>
      <c r="L206" s="10"/>
      <c r="M206" s="10"/>
      <c r="N206" s="10"/>
    </row>
    <row r="207" customFormat="false" ht="23.85" hidden="false" customHeight="false" outlineLevel="0" collapsed="false">
      <c r="A207" s="9" t="s">
        <v>589</v>
      </c>
      <c r="B207" s="9" t="s">
        <v>187</v>
      </c>
      <c r="C207" s="9" t="s">
        <v>590</v>
      </c>
      <c r="D207" s="9" t="s">
        <v>150</v>
      </c>
      <c r="E207" s="9" t="s">
        <v>129</v>
      </c>
      <c r="F207" s="9" t="s">
        <v>130</v>
      </c>
      <c r="G207" s="9" t="s">
        <v>507</v>
      </c>
      <c r="H207" s="9" t="s">
        <v>140</v>
      </c>
      <c r="I207" s="10"/>
      <c r="J207" s="10"/>
      <c r="K207" s="10"/>
      <c r="L207" s="10"/>
      <c r="M207" s="10"/>
      <c r="N207" s="10"/>
    </row>
    <row r="208" customFormat="false" ht="23.85" hidden="false" customHeight="false" outlineLevel="0" collapsed="false">
      <c r="A208" s="9" t="s">
        <v>591</v>
      </c>
      <c r="B208" s="9" t="s">
        <v>187</v>
      </c>
      <c r="C208" s="9" t="s">
        <v>592</v>
      </c>
      <c r="D208" s="9" t="s">
        <v>150</v>
      </c>
      <c r="E208" s="9" t="s">
        <v>129</v>
      </c>
      <c r="F208" s="9" t="s">
        <v>130</v>
      </c>
      <c r="G208" s="9" t="s">
        <v>507</v>
      </c>
      <c r="H208" s="9" t="s">
        <v>140</v>
      </c>
      <c r="I208" s="10"/>
      <c r="J208" s="10"/>
      <c r="K208" s="10"/>
      <c r="L208" s="10"/>
      <c r="M208" s="10"/>
      <c r="N208" s="10"/>
    </row>
    <row r="209" customFormat="false" ht="23.85" hidden="false" customHeight="false" outlineLevel="0" collapsed="false">
      <c r="A209" s="9" t="s">
        <v>593</v>
      </c>
      <c r="B209" s="9" t="s">
        <v>187</v>
      </c>
      <c r="C209" s="9" t="s">
        <v>594</v>
      </c>
      <c r="D209" s="9" t="s">
        <v>150</v>
      </c>
      <c r="E209" s="9" t="s">
        <v>226</v>
      </c>
      <c r="F209" s="9" t="s">
        <v>144</v>
      </c>
      <c r="G209" s="9" t="s">
        <v>507</v>
      </c>
      <c r="H209" s="9" t="s">
        <v>274</v>
      </c>
      <c r="I209" s="10"/>
      <c r="J209" s="10"/>
      <c r="K209" s="10"/>
      <c r="L209" s="10"/>
      <c r="M209" s="10"/>
      <c r="N209" s="10"/>
    </row>
    <row r="210" customFormat="false" ht="23.85" hidden="false" customHeight="false" outlineLevel="0" collapsed="false">
      <c r="A210" s="9" t="s">
        <v>595</v>
      </c>
      <c r="B210" s="9" t="s">
        <v>187</v>
      </c>
      <c r="C210" s="9" t="s">
        <v>596</v>
      </c>
      <c r="D210" s="9" t="s">
        <v>510</v>
      </c>
      <c r="E210" s="9" t="s">
        <v>226</v>
      </c>
      <c r="F210" s="9" t="s">
        <v>144</v>
      </c>
      <c r="G210" s="9" t="s">
        <v>507</v>
      </c>
      <c r="H210" s="9" t="s">
        <v>274</v>
      </c>
      <c r="I210" s="10"/>
      <c r="J210" s="10"/>
      <c r="K210" s="10"/>
      <c r="L210" s="10"/>
      <c r="M210" s="10"/>
      <c r="N210" s="10"/>
    </row>
    <row r="211" customFormat="false" ht="23.85" hidden="false" customHeight="false" outlineLevel="0" collapsed="false">
      <c r="A211" s="9" t="s">
        <v>597</v>
      </c>
      <c r="B211" s="9" t="s">
        <v>187</v>
      </c>
      <c r="C211" s="9" t="s">
        <v>598</v>
      </c>
      <c r="D211" s="9" t="s">
        <v>150</v>
      </c>
      <c r="E211" s="9" t="s">
        <v>129</v>
      </c>
      <c r="F211" s="9" t="s">
        <v>130</v>
      </c>
      <c r="G211" s="9" t="s">
        <v>507</v>
      </c>
      <c r="H211" s="9" t="s">
        <v>140</v>
      </c>
      <c r="I211" s="10"/>
      <c r="J211" s="10"/>
      <c r="K211" s="10"/>
      <c r="L211" s="10"/>
      <c r="M211" s="10"/>
      <c r="N211" s="10"/>
    </row>
    <row r="212" customFormat="false" ht="23.85" hidden="false" customHeight="false" outlineLevel="0" collapsed="false">
      <c r="A212" s="9" t="s">
        <v>599</v>
      </c>
      <c r="B212" s="9" t="s">
        <v>187</v>
      </c>
      <c r="C212" s="9" t="s">
        <v>600</v>
      </c>
      <c r="D212" s="9" t="s">
        <v>150</v>
      </c>
      <c r="E212" s="9" t="s">
        <v>129</v>
      </c>
      <c r="F212" s="9" t="s">
        <v>144</v>
      </c>
      <c r="G212" s="9" t="s">
        <v>507</v>
      </c>
      <c r="H212" s="9" t="s">
        <v>274</v>
      </c>
      <c r="I212" s="10"/>
      <c r="J212" s="10"/>
      <c r="K212" s="10"/>
      <c r="L212" s="10"/>
      <c r="M212" s="10"/>
      <c r="N212" s="10"/>
    </row>
    <row r="213" customFormat="false" ht="23.85" hidden="false" customHeight="false" outlineLevel="0" collapsed="false">
      <c r="A213" s="9" t="s">
        <v>601</v>
      </c>
      <c r="B213" s="9" t="s">
        <v>187</v>
      </c>
      <c r="C213" s="9" t="s">
        <v>602</v>
      </c>
      <c r="D213" s="9" t="s">
        <v>150</v>
      </c>
      <c r="E213" s="9" t="s">
        <v>129</v>
      </c>
      <c r="F213" s="9" t="s">
        <v>130</v>
      </c>
      <c r="G213" s="9" t="s">
        <v>507</v>
      </c>
      <c r="H213" s="9" t="s">
        <v>140</v>
      </c>
      <c r="I213" s="10"/>
      <c r="J213" s="10"/>
      <c r="K213" s="10"/>
      <c r="L213" s="10"/>
      <c r="M213" s="10"/>
      <c r="N213" s="10"/>
    </row>
    <row r="214" customFormat="false" ht="23.85" hidden="false" customHeight="false" outlineLevel="0" collapsed="false">
      <c r="A214" s="9" t="s">
        <v>603</v>
      </c>
      <c r="B214" s="9" t="s">
        <v>187</v>
      </c>
      <c r="C214" s="9" t="s">
        <v>604</v>
      </c>
      <c r="D214" s="9" t="s">
        <v>510</v>
      </c>
      <c r="E214" s="9" t="s">
        <v>129</v>
      </c>
      <c r="F214" s="9" t="s">
        <v>144</v>
      </c>
      <c r="G214" s="9" t="s">
        <v>507</v>
      </c>
      <c r="H214" s="9" t="s">
        <v>274</v>
      </c>
      <c r="I214" s="10"/>
      <c r="J214" s="10"/>
      <c r="K214" s="10"/>
      <c r="L214" s="10"/>
      <c r="M214" s="10"/>
      <c r="N214" s="10"/>
    </row>
    <row r="215" customFormat="false" ht="23.85" hidden="false" customHeight="false" outlineLevel="0" collapsed="false">
      <c r="A215" s="9" t="s">
        <v>605</v>
      </c>
      <c r="B215" s="9" t="s">
        <v>192</v>
      </c>
      <c r="C215" s="9" t="s">
        <v>606</v>
      </c>
      <c r="D215" s="9" t="s">
        <v>150</v>
      </c>
      <c r="E215" s="9" t="s">
        <v>183</v>
      </c>
      <c r="F215" s="9" t="s">
        <v>130</v>
      </c>
      <c r="G215" s="9" t="s">
        <v>507</v>
      </c>
      <c r="H215" s="9" t="s">
        <v>140</v>
      </c>
      <c r="I215" s="10"/>
      <c r="J215" s="10"/>
      <c r="K215" s="10"/>
      <c r="L215" s="10"/>
      <c r="M215" s="10"/>
      <c r="N215" s="10"/>
    </row>
    <row r="216" customFormat="false" ht="23.85" hidden="false" customHeight="false" outlineLevel="0" collapsed="false">
      <c r="A216" s="9" t="s">
        <v>607</v>
      </c>
      <c r="B216" s="9" t="s">
        <v>192</v>
      </c>
      <c r="C216" s="9" t="s">
        <v>608</v>
      </c>
      <c r="D216" s="9" t="s">
        <v>150</v>
      </c>
      <c r="E216" s="9" t="s">
        <v>183</v>
      </c>
      <c r="F216" s="9" t="s">
        <v>130</v>
      </c>
      <c r="G216" s="9" t="s">
        <v>507</v>
      </c>
      <c r="H216" s="9" t="s">
        <v>140</v>
      </c>
      <c r="I216" s="10"/>
      <c r="J216" s="10"/>
      <c r="K216" s="10"/>
      <c r="L216" s="10"/>
      <c r="M216" s="10"/>
      <c r="N216" s="10"/>
    </row>
    <row r="217" customFormat="false" ht="23.85" hidden="false" customHeight="false" outlineLevel="0" collapsed="false">
      <c r="A217" s="9" t="s">
        <v>609</v>
      </c>
      <c r="B217" s="9" t="s">
        <v>192</v>
      </c>
      <c r="C217" s="9" t="s">
        <v>610</v>
      </c>
      <c r="D217" s="9" t="s">
        <v>150</v>
      </c>
      <c r="E217" s="9" t="s">
        <v>183</v>
      </c>
      <c r="F217" s="9" t="s">
        <v>144</v>
      </c>
      <c r="G217" s="9" t="s">
        <v>507</v>
      </c>
      <c r="H217" s="9" t="s">
        <v>274</v>
      </c>
      <c r="I217" s="10"/>
      <c r="J217" s="10"/>
      <c r="K217" s="10"/>
      <c r="L217" s="10"/>
      <c r="M217" s="10"/>
      <c r="N217" s="10"/>
    </row>
    <row r="218" customFormat="false" ht="23.85" hidden="false" customHeight="false" outlineLevel="0" collapsed="false">
      <c r="A218" s="9" t="s">
        <v>611</v>
      </c>
      <c r="B218" s="9" t="s">
        <v>192</v>
      </c>
      <c r="C218" s="9" t="s">
        <v>612</v>
      </c>
      <c r="D218" s="9" t="s">
        <v>150</v>
      </c>
      <c r="E218" s="9" t="s">
        <v>183</v>
      </c>
      <c r="F218" s="9" t="s">
        <v>144</v>
      </c>
      <c r="G218" s="9" t="s">
        <v>507</v>
      </c>
      <c r="H218" s="9" t="s">
        <v>274</v>
      </c>
      <c r="I218" s="10"/>
      <c r="J218" s="10"/>
      <c r="K218" s="10"/>
      <c r="L218" s="10"/>
      <c r="M218" s="10"/>
      <c r="N218" s="10"/>
    </row>
    <row r="219" customFormat="false" ht="23.85" hidden="false" customHeight="false" outlineLevel="0" collapsed="false">
      <c r="A219" s="9" t="s">
        <v>613</v>
      </c>
      <c r="B219" s="9" t="s">
        <v>192</v>
      </c>
      <c r="C219" s="9" t="s">
        <v>614</v>
      </c>
      <c r="D219" s="9" t="s">
        <v>150</v>
      </c>
      <c r="E219" s="9" t="s">
        <v>129</v>
      </c>
      <c r="F219" s="9" t="s">
        <v>130</v>
      </c>
      <c r="G219" s="9" t="s">
        <v>507</v>
      </c>
      <c r="H219" s="9" t="s">
        <v>140</v>
      </c>
      <c r="I219" s="10"/>
      <c r="J219" s="10"/>
      <c r="K219" s="10"/>
      <c r="L219" s="10"/>
      <c r="M219" s="10"/>
      <c r="N219" s="10"/>
    </row>
    <row r="220" customFormat="false" ht="23.85" hidden="false" customHeight="false" outlineLevel="0" collapsed="false">
      <c r="A220" s="9" t="s">
        <v>615</v>
      </c>
      <c r="B220" s="9" t="s">
        <v>192</v>
      </c>
      <c r="C220" s="9" t="s">
        <v>616</v>
      </c>
      <c r="D220" s="9" t="s">
        <v>150</v>
      </c>
      <c r="E220" s="9" t="s">
        <v>183</v>
      </c>
      <c r="F220" s="9" t="s">
        <v>130</v>
      </c>
      <c r="G220" s="9" t="s">
        <v>507</v>
      </c>
      <c r="H220" s="9" t="s">
        <v>140</v>
      </c>
      <c r="I220" s="10"/>
      <c r="J220" s="10"/>
      <c r="K220" s="10"/>
      <c r="L220" s="10"/>
      <c r="M220" s="10"/>
      <c r="N220" s="10"/>
    </row>
    <row r="221" customFormat="false" ht="23.85" hidden="false" customHeight="false" outlineLevel="0" collapsed="false">
      <c r="A221" s="9" t="s">
        <v>617</v>
      </c>
      <c r="B221" s="9" t="s">
        <v>192</v>
      </c>
      <c r="C221" s="9" t="s">
        <v>618</v>
      </c>
      <c r="D221" s="9" t="s">
        <v>150</v>
      </c>
      <c r="E221" s="9" t="s">
        <v>129</v>
      </c>
      <c r="F221" s="9" t="s">
        <v>144</v>
      </c>
      <c r="G221" s="9" t="s">
        <v>507</v>
      </c>
      <c r="H221" s="9" t="s">
        <v>274</v>
      </c>
      <c r="I221" s="10"/>
      <c r="J221" s="10"/>
      <c r="K221" s="10"/>
      <c r="L221" s="10"/>
      <c r="M221" s="10"/>
      <c r="N221" s="10"/>
    </row>
    <row r="222" customFormat="false" ht="23.85" hidden="false" customHeight="false" outlineLevel="0" collapsed="false">
      <c r="A222" s="9" t="s">
        <v>619</v>
      </c>
      <c r="B222" s="9" t="s">
        <v>207</v>
      </c>
      <c r="C222" s="9" t="s">
        <v>620</v>
      </c>
      <c r="D222" s="9" t="s">
        <v>150</v>
      </c>
      <c r="E222" s="9" t="s">
        <v>183</v>
      </c>
      <c r="F222" s="9" t="s">
        <v>130</v>
      </c>
      <c r="G222" s="9" t="s">
        <v>507</v>
      </c>
      <c r="H222" s="9" t="s">
        <v>140</v>
      </c>
      <c r="I222" s="10"/>
      <c r="J222" s="10"/>
      <c r="K222" s="10"/>
      <c r="L222" s="10"/>
      <c r="M222" s="10"/>
      <c r="N222" s="10"/>
    </row>
    <row r="223" customFormat="false" ht="23.85" hidden="false" customHeight="false" outlineLevel="0" collapsed="false">
      <c r="A223" s="9" t="s">
        <v>621</v>
      </c>
      <c r="B223" s="9" t="s">
        <v>207</v>
      </c>
      <c r="C223" s="9" t="s">
        <v>622</v>
      </c>
      <c r="D223" s="9" t="s">
        <v>150</v>
      </c>
      <c r="E223" s="9" t="s">
        <v>183</v>
      </c>
      <c r="F223" s="9" t="s">
        <v>151</v>
      </c>
      <c r="G223" s="9" t="s">
        <v>507</v>
      </c>
      <c r="H223" s="9" t="s">
        <v>274</v>
      </c>
      <c r="I223" s="10"/>
      <c r="J223" s="10"/>
      <c r="K223" s="10"/>
      <c r="L223" s="10"/>
      <c r="M223" s="10"/>
      <c r="N223" s="10"/>
    </row>
    <row r="224" customFormat="false" ht="23.85" hidden="false" customHeight="false" outlineLevel="0" collapsed="false">
      <c r="A224" s="9" t="s">
        <v>623</v>
      </c>
      <c r="B224" s="9" t="s">
        <v>207</v>
      </c>
      <c r="C224" s="9" t="s">
        <v>624</v>
      </c>
      <c r="D224" s="9" t="s">
        <v>150</v>
      </c>
      <c r="E224" s="9" t="s">
        <v>129</v>
      </c>
      <c r="F224" s="9" t="s">
        <v>151</v>
      </c>
      <c r="G224" s="9" t="s">
        <v>507</v>
      </c>
      <c r="H224" s="9" t="s">
        <v>274</v>
      </c>
      <c r="I224" s="10"/>
      <c r="J224" s="10"/>
      <c r="K224" s="10"/>
      <c r="L224" s="10"/>
      <c r="M224" s="10"/>
      <c r="N224" s="10"/>
    </row>
    <row r="225" customFormat="false" ht="23.85" hidden="false" customHeight="false" outlineLevel="0" collapsed="false">
      <c r="A225" s="9" t="s">
        <v>625</v>
      </c>
      <c r="B225" s="9" t="s">
        <v>207</v>
      </c>
      <c r="C225" s="9" t="s">
        <v>626</v>
      </c>
      <c r="D225" s="9" t="s">
        <v>150</v>
      </c>
      <c r="E225" s="9" t="s">
        <v>129</v>
      </c>
      <c r="F225" s="9" t="s">
        <v>130</v>
      </c>
      <c r="G225" s="9" t="s">
        <v>507</v>
      </c>
      <c r="H225" s="9" t="s">
        <v>140</v>
      </c>
      <c r="I225" s="10"/>
      <c r="J225" s="10"/>
      <c r="K225" s="10"/>
      <c r="L225" s="10"/>
      <c r="M225" s="10"/>
      <c r="N225" s="10"/>
    </row>
    <row r="226" customFormat="false" ht="23.85" hidden="false" customHeight="false" outlineLevel="0" collapsed="false">
      <c r="A226" s="9" t="s">
        <v>627</v>
      </c>
      <c r="B226" s="9" t="s">
        <v>210</v>
      </c>
      <c r="C226" s="9" t="s">
        <v>628</v>
      </c>
      <c r="D226" s="9" t="s">
        <v>150</v>
      </c>
      <c r="E226" s="9" t="s">
        <v>129</v>
      </c>
      <c r="F226" s="9" t="s">
        <v>154</v>
      </c>
      <c r="G226" s="9" t="s">
        <v>507</v>
      </c>
      <c r="H226" s="9" t="s">
        <v>140</v>
      </c>
      <c r="I226" s="10"/>
      <c r="J226" s="10"/>
      <c r="K226" s="10"/>
      <c r="L226" s="10"/>
      <c r="M226" s="10"/>
      <c r="N226" s="10"/>
    </row>
    <row r="227" customFormat="false" ht="23.85" hidden="false" customHeight="false" outlineLevel="0" collapsed="false">
      <c r="A227" s="9" t="s">
        <v>629</v>
      </c>
      <c r="B227" s="9" t="s">
        <v>210</v>
      </c>
      <c r="C227" s="9" t="s">
        <v>630</v>
      </c>
      <c r="D227" s="9" t="s">
        <v>510</v>
      </c>
      <c r="E227" s="9" t="s">
        <v>129</v>
      </c>
      <c r="F227" s="9" t="s">
        <v>154</v>
      </c>
      <c r="G227" s="9" t="s">
        <v>507</v>
      </c>
      <c r="H227" s="9" t="s">
        <v>140</v>
      </c>
      <c r="I227" s="10"/>
      <c r="J227" s="10"/>
      <c r="K227" s="10"/>
      <c r="L227" s="10"/>
      <c r="M227" s="10"/>
      <c r="N227" s="10"/>
    </row>
    <row r="228" customFormat="false" ht="23.85" hidden="false" customHeight="false" outlineLevel="0" collapsed="false">
      <c r="A228" s="9" t="s">
        <v>631</v>
      </c>
      <c r="B228" s="9" t="s">
        <v>210</v>
      </c>
      <c r="C228" s="9" t="s">
        <v>632</v>
      </c>
      <c r="D228" s="9" t="s">
        <v>510</v>
      </c>
      <c r="E228" s="9" t="s">
        <v>129</v>
      </c>
      <c r="F228" s="9" t="s">
        <v>154</v>
      </c>
      <c r="G228" s="9" t="s">
        <v>507</v>
      </c>
      <c r="H228" s="9" t="s">
        <v>140</v>
      </c>
      <c r="I228" s="10"/>
      <c r="J228" s="10"/>
      <c r="K228" s="10"/>
      <c r="L228" s="10"/>
      <c r="M228" s="10"/>
      <c r="N228" s="10"/>
    </row>
    <row r="229" customFormat="false" ht="23.85" hidden="false" customHeight="false" outlineLevel="0" collapsed="false">
      <c r="A229" s="9" t="s">
        <v>633</v>
      </c>
      <c r="B229" s="9" t="s">
        <v>210</v>
      </c>
      <c r="C229" s="9" t="s">
        <v>634</v>
      </c>
      <c r="D229" s="9" t="s">
        <v>150</v>
      </c>
      <c r="E229" s="9" t="s">
        <v>226</v>
      </c>
      <c r="F229" s="9" t="s">
        <v>144</v>
      </c>
      <c r="G229" s="9" t="s">
        <v>507</v>
      </c>
      <c r="H229" s="9" t="s">
        <v>274</v>
      </c>
      <c r="I229" s="10"/>
      <c r="J229" s="10"/>
      <c r="K229" s="10"/>
      <c r="L229" s="10"/>
      <c r="M229" s="10"/>
      <c r="N229" s="10"/>
    </row>
    <row r="230" customFormat="false" ht="23.85" hidden="false" customHeight="false" outlineLevel="0" collapsed="false">
      <c r="A230" s="9" t="s">
        <v>635</v>
      </c>
      <c r="B230" s="9" t="s">
        <v>210</v>
      </c>
      <c r="C230" s="9" t="s">
        <v>636</v>
      </c>
      <c r="D230" s="9" t="s">
        <v>150</v>
      </c>
      <c r="E230" s="9" t="s">
        <v>129</v>
      </c>
      <c r="F230" s="9" t="s">
        <v>130</v>
      </c>
      <c r="G230" s="9" t="s">
        <v>507</v>
      </c>
      <c r="H230" s="9" t="s">
        <v>140</v>
      </c>
      <c r="I230" s="10"/>
      <c r="J230" s="10"/>
      <c r="K230" s="10"/>
      <c r="L230" s="10"/>
      <c r="M230" s="10"/>
      <c r="N230" s="10"/>
    </row>
    <row r="231" customFormat="false" ht="23.85" hidden="false" customHeight="false" outlineLevel="0" collapsed="false">
      <c r="A231" s="9" t="s">
        <v>637</v>
      </c>
      <c r="B231" s="9" t="s">
        <v>210</v>
      </c>
      <c r="C231" s="9" t="s">
        <v>638</v>
      </c>
      <c r="D231" s="9" t="s">
        <v>150</v>
      </c>
      <c r="E231" s="9" t="s">
        <v>183</v>
      </c>
      <c r="F231" s="9" t="s">
        <v>130</v>
      </c>
      <c r="G231" s="9" t="s">
        <v>507</v>
      </c>
      <c r="H231" s="9" t="s">
        <v>140</v>
      </c>
      <c r="I231" s="10"/>
      <c r="J231" s="10"/>
      <c r="K231" s="10"/>
      <c r="L231" s="10"/>
      <c r="M231" s="10"/>
      <c r="N231" s="10"/>
    </row>
    <row r="232" customFormat="false" ht="23.85" hidden="false" customHeight="false" outlineLevel="0" collapsed="false">
      <c r="A232" s="9" t="s">
        <v>639</v>
      </c>
      <c r="B232" s="9" t="s">
        <v>210</v>
      </c>
      <c r="C232" s="9" t="s">
        <v>640</v>
      </c>
      <c r="D232" s="9" t="s">
        <v>150</v>
      </c>
      <c r="E232" s="9" t="s">
        <v>129</v>
      </c>
      <c r="F232" s="9" t="s">
        <v>144</v>
      </c>
      <c r="G232" s="9" t="s">
        <v>507</v>
      </c>
      <c r="H232" s="9" t="s">
        <v>274</v>
      </c>
      <c r="I232" s="10"/>
      <c r="J232" s="10"/>
      <c r="K232" s="10"/>
      <c r="L232" s="10"/>
      <c r="M232" s="10"/>
      <c r="N232" s="10"/>
    </row>
    <row r="233" customFormat="false" ht="23.85" hidden="false" customHeight="false" outlineLevel="0" collapsed="false">
      <c r="A233" s="9" t="s">
        <v>641</v>
      </c>
      <c r="B233" s="9" t="s">
        <v>210</v>
      </c>
      <c r="C233" s="9" t="s">
        <v>642</v>
      </c>
      <c r="D233" s="9" t="s">
        <v>150</v>
      </c>
      <c r="E233" s="9" t="s">
        <v>129</v>
      </c>
      <c r="F233" s="9" t="s">
        <v>144</v>
      </c>
      <c r="G233" s="9" t="s">
        <v>507</v>
      </c>
      <c r="H233" s="9" t="s">
        <v>274</v>
      </c>
      <c r="I233" s="10"/>
      <c r="J233" s="10"/>
      <c r="K233" s="10"/>
      <c r="L233" s="10"/>
      <c r="M233" s="10"/>
      <c r="N233" s="10"/>
    </row>
    <row r="234" customFormat="false" ht="23.85" hidden="false" customHeight="false" outlineLevel="0" collapsed="false">
      <c r="A234" s="9" t="s">
        <v>643</v>
      </c>
      <c r="B234" s="9" t="s">
        <v>228</v>
      </c>
      <c r="C234" s="9" t="s">
        <v>644</v>
      </c>
      <c r="D234" s="9" t="s">
        <v>150</v>
      </c>
      <c r="E234" s="9" t="s">
        <v>183</v>
      </c>
      <c r="F234" s="9" t="s">
        <v>130</v>
      </c>
      <c r="G234" s="9" t="s">
        <v>507</v>
      </c>
      <c r="H234" s="9" t="s">
        <v>140</v>
      </c>
      <c r="I234" s="10"/>
      <c r="J234" s="10"/>
      <c r="K234" s="10"/>
      <c r="L234" s="10"/>
      <c r="M234" s="10"/>
      <c r="N234" s="10"/>
    </row>
    <row r="235" customFormat="false" ht="23.85" hidden="false" customHeight="false" outlineLevel="0" collapsed="false">
      <c r="A235" s="9" t="s">
        <v>645</v>
      </c>
      <c r="B235" s="9" t="s">
        <v>228</v>
      </c>
      <c r="C235" s="9" t="s">
        <v>646</v>
      </c>
      <c r="D235" s="9" t="s">
        <v>150</v>
      </c>
      <c r="E235" s="9" t="s">
        <v>183</v>
      </c>
      <c r="F235" s="9" t="s">
        <v>151</v>
      </c>
      <c r="G235" s="9" t="s">
        <v>507</v>
      </c>
      <c r="H235" s="9" t="s">
        <v>274</v>
      </c>
      <c r="I235" s="10"/>
      <c r="J235" s="10"/>
      <c r="K235" s="10"/>
      <c r="L235" s="10"/>
      <c r="M235" s="10"/>
      <c r="N235" s="10"/>
    </row>
    <row r="236" customFormat="false" ht="23.85" hidden="false" customHeight="false" outlineLevel="0" collapsed="false">
      <c r="A236" s="9" t="s">
        <v>647</v>
      </c>
      <c r="B236" s="9" t="s">
        <v>228</v>
      </c>
      <c r="C236" s="9" t="s">
        <v>648</v>
      </c>
      <c r="D236" s="9" t="s">
        <v>150</v>
      </c>
      <c r="E236" s="9" t="s">
        <v>129</v>
      </c>
      <c r="F236" s="9" t="s">
        <v>144</v>
      </c>
      <c r="G236" s="9" t="s">
        <v>507</v>
      </c>
      <c r="H236" s="9" t="s">
        <v>274</v>
      </c>
      <c r="I236" s="10"/>
      <c r="J236" s="10"/>
      <c r="K236" s="10"/>
      <c r="L236" s="10"/>
      <c r="M236" s="10"/>
      <c r="N236" s="10"/>
    </row>
    <row r="237" customFormat="false" ht="23.85" hidden="false" customHeight="false" outlineLevel="0" collapsed="false">
      <c r="A237" s="9" t="s">
        <v>649</v>
      </c>
      <c r="B237" s="9" t="s">
        <v>228</v>
      </c>
      <c r="C237" s="9" t="s">
        <v>650</v>
      </c>
      <c r="D237" s="9" t="s">
        <v>150</v>
      </c>
      <c r="E237" s="9" t="s">
        <v>129</v>
      </c>
      <c r="F237" s="9" t="s">
        <v>130</v>
      </c>
      <c r="G237" s="9" t="s">
        <v>507</v>
      </c>
      <c r="H237" s="9" t="s">
        <v>140</v>
      </c>
      <c r="I237" s="10"/>
      <c r="J237" s="10"/>
      <c r="K237" s="10"/>
      <c r="L237" s="10"/>
      <c r="M237" s="10"/>
      <c r="N237" s="10"/>
    </row>
    <row r="238" customFormat="false" ht="23.85" hidden="false" customHeight="false" outlineLevel="0" collapsed="false">
      <c r="A238" s="9" t="s">
        <v>651</v>
      </c>
      <c r="B238" s="9" t="s">
        <v>228</v>
      </c>
      <c r="C238" s="9" t="s">
        <v>652</v>
      </c>
      <c r="D238" s="9" t="s">
        <v>150</v>
      </c>
      <c r="E238" s="9" t="s">
        <v>183</v>
      </c>
      <c r="F238" s="9" t="s">
        <v>144</v>
      </c>
      <c r="G238" s="9" t="s">
        <v>507</v>
      </c>
      <c r="H238" s="9" t="s">
        <v>274</v>
      </c>
      <c r="I238" s="10"/>
      <c r="J238" s="10"/>
      <c r="K238" s="10"/>
      <c r="L238" s="10"/>
      <c r="M238" s="10"/>
      <c r="N238" s="10"/>
    </row>
    <row r="239" customFormat="false" ht="23.85" hidden="false" customHeight="false" outlineLevel="0" collapsed="false">
      <c r="A239" s="9" t="s">
        <v>653</v>
      </c>
      <c r="B239" s="9" t="s">
        <v>228</v>
      </c>
      <c r="C239" s="9" t="s">
        <v>654</v>
      </c>
      <c r="D239" s="9" t="s">
        <v>150</v>
      </c>
      <c r="E239" s="9" t="s">
        <v>129</v>
      </c>
      <c r="F239" s="9" t="s">
        <v>144</v>
      </c>
      <c r="G239" s="9" t="s">
        <v>507</v>
      </c>
      <c r="H239" s="9" t="s">
        <v>274</v>
      </c>
      <c r="I239" s="10"/>
      <c r="J239" s="10"/>
      <c r="K239" s="10"/>
      <c r="L239" s="10"/>
      <c r="M239" s="10"/>
      <c r="N239" s="10"/>
    </row>
    <row r="240" customFormat="false" ht="23.85" hidden="false" customHeight="false" outlineLevel="0" collapsed="false">
      <c r="A240" s="9" t="s">
        <v>655</v>
      </c>
      <c r="B240" s="9" t="s">
        <v>228</v>
      </c>
      <c r="C240" s="9" t="s">
        <v>656</v>
      </c>
      <c r="D240" s="9" t="s">
        <v>510</v>
      </c>
      <c r="E240" s="9" t="s">
        <v>237</v>
      </c>
      <c r="F240" s="9" t="s">
        <v>144</v>
      </c>
      <c r="G240" s="9" t="s">
        <v>507</v>
      </c>
      <c r="H240" s="9" t="s">
        <v>274</v>
      </c>
      <c r="I240" s="10"/>
      <c r="J240" s="10"/>
      <c r="K240" s="10"/>
      <c r="L240" s="10"/>
      <c r="M240" s="10"/>
      <c r="N240" s="10"/>
    </row>
    <row r="241" customFormat="false" ht="23.85" hidden="false" customHeight="false" outlineLevel="0" collapsed="false">
      <c r="A241" s="9" t="s">
        <v>657</v>
      </c>
      <c r="B241" s="9" t="s">
        <v>233</v>
      </c>
      <c r="C241" s="9" t="s">
        <v>658</v>
      </c>
      <c r="D241" s="9" t="s">
        <v>150</v>
      </c>
      <c r="E241" s="9" t="s">
        <v>129</v>
      </c>
      <c r="F241" s="9" t="s">
        <v>144</v>
      </c>
      <c r="G241" s="9" t="s">
        <v>507</v>
      </c>
      <c r="H241" s="9" t="s">
        <v>274</v>
      </c>
      <c r="I241" s="10"/>
      <c r="J241" s="10"/>
      <c r="K241" s="10"/>
      <c r="L241" s="10"/>
      <c r="M241" s="10"/>
      <c r="N241" s="10"/>
    </row>
    <row r="242" customFormat="false" ht="23.85" hidden="false" customHeight="false" outlineLevel="0" collapsed="false">
      <c r="A242" s="9" t="s">
        <v>659</v>
      </c>
      <c r="B242" s="9" t="s">
        <v>233</v>
      </c>
      <c r="C242" s="9" t="s">
        <v>660</v>
      </c>
      <c r="D242" s="9" t="s">
        <v>150</v>
      </c>
      <c r="E242" s="9" t="s">
        <v>129</v>
      </c>
      <c r="F242" s="9" t="s">
        <v>144</v>
      </c>
      <c r="G242" s="9" t="s">
        <v>507</v>
      </c>
      <c r="H242" s="9" t="s">
        <v>274</v>
      </c>
      <c r="I242" s="10"/>
      <c r="J242" s="10"/>
      <c r="K242" s="10"/>
      <c r="L242" s="10"/>
      <c r="M242" s="10"/>
      <c r="N242" s="10"/>
    </row>
    <row r="243" customFormat="false" ht="23.85" hidden="false" customHeight="false" outlineLevel="0" collapsed="false">
      <c r="A243" s="9" t="s">
        <v>661</v>
      </c>
      <c r="B243" s="9" t="s">
        <v>233</v>
      </c>
      <c r="C243" s="9" t="s">
        <v>662</v>
      </c>
      <c r="D243" s="9" t="s">
        <v>150</v>
      </c>
      <c r="E243" s="9" t="s">
        <v>129</v>
      </c>
      <c r="F243" s="9" t="s">
        <v>151</v>
      </c>
      <c r="G243" s="9" t="s">
        <v>507</v>
      </c>
      <c r="H243" s="9" t="s">
        <v>274</v>
      </c>
      <c r="I243" s="10"/>
      <c r="J243" s="10"/>
      <c r="K243" s="10"/>
      <c r="L243" s="10"/>
      <c r="M243" s="10"/>
      <c r="N243" s="10"/>
    </row>
    <row r="244" customFormat="false" ht="23.85" hidden="false" customHeight="false" outlineLevel="0" collapsed="false">
      <c r="A244" s="9" t="s">
        <v>663</v>
      </c>
      <c r="B244" s="9" t="s">
        <v>233</v>
      </c>
      <c r="C244" s="9" t="s">
        <v>664</v>
      </c>
      <c r="D244" s="9" t="s">
        <v>150</v>
      </c>
      <c r="E244" s="9" t="s">
        <v>226</v>
      </c>
      <c r="F244" s="9" t="s">
        <v>144</v>
      </c>
      <c r="G244" s="9" t="s">
        <v>507</v>
      </c>
      <c r="H244" s="9" t="s">
        <v>274</v>
      </c>
      <c r="I244" s="10"/>
      <c r="J244" s="10"/>
      <c r="K244" s="10"/>
      <c r="L244" s="10"/>
      <c r="M244" s="10"/>
      <c r="N244" s="10"/>
    </row>
    <row r="245" customFormat="false" ht="23.85" hidden="false" customHeight="false" outlineLevel="0" collapsed="false">
      <c r="A245" s="9" t="s">
        <v>665</v>
      </c>
      <c r="B245" s="9" t="s">
        <v>233</v>
      </c>
      <c r="C245" s="9" t="s">
        <v>666</v>
      </c>
      <c r="D245" s="9" t="s">
        <v>150</v>
      </c>
      <c r="E245" s="9" t="s">
        <v>183</v>
      </c>
      <c r="F245" s="9" t="s">
        <v>130</v>
      </c>
      <c r="G245" s="9" t="s">
        <v>507</v>
      </c>
      <c r="H245" s="9" t="s">
        <v>140</v>
      </c>
      <c r="I245" s="10"/>
      <c r="J245" s="10"/>
      <c r="K245" s="10"/>
      <c r="L245" s="10"/>
      <c r="M245" s="10"/>
      <c r="N245" s="10"/>
    </row>
    <row r="246" customFormat="false" ht="23.85" hidden="false" customHeight="false" outlineLevel="0" collapsed="false">
      <c r="A246" s="9" t="s">
        <v>667</v>
      </c>
      <c r="B246" s="9" t="s">
        <v>239</v>
      </c>
      <c r="C246" s="9" t="s">
        <v>668</v>
      </c>
      <c r="D246" s="9" t="s">
        <v>150</v>
      </c>
      <c r="E246" s="9" t="s">
        <v>129</v>
      </c>
      <c r="F246" s="9" t="s">
        <v>130</v>
      </c>
      <c r="G246" s="9" t="s">
        <v>507</v>
      </c>
      <c r="H246" s="9" t="s">
        <v>140</v>
      </c>
      <c r="I246" s="10"/>
      <c r="J246" s="10"/>
      <c r="K246" s="10"/>
      <c r="L246" s="10"/>
      <c r="M246" s="10"/>
      <c r="N246" s="10"/>
    </row>
    <row r="247" customFormat="false" ht="23.85" hidden="false" customHeight="false" outlineLevel="0" collapsed="false">
      <c r="A247" s="9" t="s">
        <v>669</v>
      </c>
      <c r="B247" s="9" t="s">
        <v>239</v>
      </c>
      <c r="C247" s="9" t="s">
        <v>670</v>
      </c>
      <c r="D247" s="9" t="s">
        <v>150</v>
      </c>
      <c r="E247" s="9" t="s">
        <v>183</v>
      </c>
      <c r="F247" s="9" t="s">
        <v>130</v>
      </c>
      <c r="G247" s="9" t="s">
        <v>507</v>
      </c>
      <c r="H247" s="9" t="s">
        <v>140</v>
      </c>
      <c r="I247" s="10"/>
      <c r="J247" s="10"/>
      <c r="K247" s="10"/>
      <c r="L247" s="10"/>
      <c r="M247" s="10"/>
      <c r="N247" s="10"/>
    </row>
    <row r="248" customFormat="false" ht="23.85" hidden="false" customHeight="false" outlineLevel="0" collapsed="false">
      <c r="A248" s="9" t="s">
        <v>671</v>
      </c>
      <c r="B248" s="9" t="s">
        <v>239</v>
      </c>
      <c r="C248" s="9" t="s">
        <v>672</v>
      </c>
      <c r="D248" s="9" t="s">
        <v>150</v>
      </c>
      <c r="E248" s="9" t="s">
        <v>249</v>
      </c>
      <c r="F248" s="9" t="s">
        <v>154</v>
      </c>
      <c r="G248" s="9" t="s">
        <v>507</v>
      </c>
      <c r="H248" s="9" t="s">
        <v>140</v>
      </c>
      <c r="I248" s="10"/>
      <c r="J248" s="10"/>
      <c r="K248" s="10"/>
      <c r="L248" s="10"/>
      <c r="M248" s="10"/>
      <c r="N248" s="10"/>
    </row>
    <row r="249" customFormat="false" ht="23.85" hidden="false" customHeight="false" outlineLevel="0" collapsed="false">
      <c r="A249" s="9" t="s">
        <v>673</v>
      </c>
      <c r="B249" s="9" t="s">
        <v>239</v>
      </c>
      <c r="C249" s="9" t="s">
        <v>674</v>
      </c>
      <c r="D249" s="9" t="s">
        <v>150</v>
      </c>
      <c r="E249" s="9" t="s">
        <v>129</v>
      </c>
      <c r="F249" s="9" t="s">
        <v>130</v>
      </c>
      <c r="G249" s="9" t="s">
        <v>507</v>
      </c>
      <c r="H249" s="9" t="s">
        <v>140</v>
      </c>
      <c r="I249" s="10"/>
      <c r="J249" s="10"/>
      <c r="K249" s="10"/>
      <c r="L249" s="10"/>
      <c r="M249" s="10"/>
      <c r="N249" s="10"/>
    </row>
    <row r="250" customFormat="false" ht="23.85" hidden="false" customHeight="false" outlineLevel="0" collapsed="false">
      <c r="A250" s="9" t="s">
        <v>675</v>
      </c>
      <c r="B250" s="9" t="s">
        <v>239</v>
      </c>
      <c r="C250" s="9" t="s">
        <v>676</v>
      </c>
      <c r="D250" s="9" t="s">
        <v>150</v>
      </c>
      <c r="E250" s="9" t="s">
        <v>129</v>
      </c>
      <c r="F250" s="9" t="s">
        <v>130</v>
      </c>
      <c r="G250" s="9" t="s">
        <v>507</v>
      </c>
      <c r="H250" s="9" t="s">
        <v>140</v>
      </c>
      <c r="I250" s="10"/>
      <c r="J250" s="10"/>
      <c r="K250" s="10"/>
      <c r="L250" s="10"/>
      <c r="M250" s="10"/>
      <c r="N250" s="10"/>
    </row>
    <row r="251" customFormat="false" ht="23.85" hidden="false" customHeight="false" outlineLevel="0" collapsed="false">
      <c r="A251" s="9" t="s">
        <v>677</v>
      </c>
      <c r="B251" s="9" t="s">
        <v>239</v>
      </c>
      <c r="C251" s="9" t="s">
        <v>678</v>
      </c>
      <c r="D251" s="9" t="s">
        <v>150</v>
      </c>
      <c r="E251" s="9" t="s">
        <v>183</v>
      </c>
      <c r="F251" s="9" t="s">
        <v>130</v>
      </c>
      <c r="G251" s="9" t="s">
        <v>507</v>
      </c>
      <c r="H251" s="9" t="s">
        <v>140</v>
      </c>
      <c r="I251" s="10"/>
      <c r="J251" s="10"/>
      <c r="K251" s="10"/>
      <c r="L251" s="10"/>
      <c r="M251" s="10"/>
      <c r="N251" s="10"/>
    </row>
    <row r="252" customFormat="false" ht="23.85" hidden="false" customHeight="false" outlineLevel="0" collapsed="false">
      <c r="A252" s="9" t="s">
        <v>679</v>
      </c>
      <c r="B252" s="9" t="s">
        <v>251</v>
      </c>
      <c r="C252" s="9" t="s">
        <v>680</v>
      </c>
      <c r="D252" s="9" t="s">
        <v>150</v>
      </c>
      <c r="E252" s="9" t="s">
        <v>226</v>
      </c>
      <c r="F252" s="9" t="s">
        <v>144</v>
      </c>
      <c r="G252" s="9" t="s">
        <v>507</v>
      </c>
      <c r="H252" s="9" t="s">
        <v>274</v>
      </c>
      <c r="I252" s="10"/>
      <c r="J252" s="10"/>
      <c r="K252" s="10"/>
      <c r="L252" s="10"/>
      <c r="M252" s="10"/>
      <c r="N252" s="10"/>
    </row>
    <row r="253" customFormat="false" ht="23.85" hidden="false" customHeight="false" outlineLevel="0" collapsed="false">
      <c r="A253" s="9" t="s">
        <v>681</v>
      </c>
      <c r="B253" s="9" t="s">
        <v>251</v>
      </c>
      <c r="C253" s="9" t="s">
        <v>682</v>
      </c>
      <c r="D253" s="9" t="s">
        <v>150</v>
      </c>
      <c r="E253" s="9" t="s">
        <v>129</v>
      </c>
      <c r="F253" s="9" t="s">
        <v>144</v>
      </c>
      <c r="G253" s="9" t="s">
        <v>507</v>
      </c>
      <c r="H253" s="9" t="s">
        <v>274</v>
      </c>
      <c r="I253" s="10"/>
      <c r="J253" s="10"/>
      <c r="K253" s="10"/>
      <c r="L253" s="10"/>
      <c r="M253" s="10"/>
      <c r="N253" s="10"/>
    </row>
    <row r="254" customFormat="false" ht="23.85" hidden="false" customHeight="false" outlineLevel="0" collapsed="false">
      <c r="A254" s="9" t="s">
        <v>683</v>
      </c>
      <c r="B254" s="9" t="s">
        <v>254</v>
      </c>
      <c r="C254" s="9" t="s">
        <v>684</v>
      </c>
      <c r="D254" s="9" t="s">
        <v>510</v>
      </c>
      <c r="E254" s="9" t="s">
        <v>226</v>
      </c>
      <c r="F254" s="9" t="s">
        <v>144</v>
      </c>
      <c r="G254" s="9" t="s">
        <v>507</v>
      </c>
      <c r="H254" s="9" t="s">
        <v>274</v>
      </c>
      <c r="I254" s="10"/>
      <c r="J254" s="10"/>
      <c r="K254" s="10"/>
      <c r="L254" s="10"/>
      <c r="M254" s="10"/>
      <c r="N254" s="10"/>
    </row>
    <row r="255" customFormat="false" ht="23.85" hidden="false" customHeight="false" outlineLevel="0" collapsed="false">
      <c r="A255" s="9" t="s">
        <v>685</v>
      </c>
      <c r="B255" s="9" t="s">
        <v>254</v>
      </c>
      <c r="C255" s="9" t="s">
        <v>686</v>
      </c>
      <c r="D255" s="9" t="s">
        <v>150</v>
      </c>
      <c r="E255" s="9" t="s">
        <v>129</v>
      </c>
      <c r="F255" s="9" t="s">
        <v>144</v>
      </c>
      <c r="G255" s="9" t="s">
        <v>507</v>
      </c>
      <c r="H255" s="9" t="s">
        <v>274</v>
      </c>
      <c r="I255" s="10"/>
      <c r="J255" s="10"/>
      <c r="K255" s="10"/>
      <c r="L255" s="10"/>
      <c r="M255" s="10"/>
      <c r="N255" s="10"/>
    </row>
    <row r="256" customFormat="false" ht="23.85" hidden="false" customHeight="false" outlineLevel="0" collapsed="false">
      <c r="A256" s="9" t="s">
        <v>687</v>
      </c>
      <c r="B256" s="9" t="s">
        <v>254</v>
      </c>
      <c r="C256" s="9" t="s">
        <v>688</v>
      </c>
      <c r="D256" s="9" t="s">
        <v>150</v>
      </c>
      <c r="E256" s="9" t="s">
        <v>129</v>
      </c>
      <c r="F256" s="9" t="s">
        <v>151</v>
      </c>
      <c r="G256" s="9" t="s">
        <v>507</v>
      </c>
      <c r="H256" s="9" t="s">
        <v>274</v>
      </c>
      <c r="I256" s="10"/>
      <c r="J256" s="10"/>
      <c r="K256" s="10"/>
      <c r="L256" s="10"/>
      <c r="M256" s="10"/>
      <c r="N256" s="10"/>
    </row>
    <row r="257" customFormat="false" ht="23.85" hidden="false" customHeight="false" outlineLevel="0" collapsed="false">
      <c r="A257" s="9" t="s">
        <v>689</v>
      </c>
      <c r="B257" s="9" t="s">
        <v>254</v>
      </c>
      <c r="C257" s="9" t="s">
        <v>690</v>
      </c>
      <c r="D257" s="9" t="s">
        <v>510</v>
      </c>
      <c r="E257" s="9" t="s">
        <v>129</v>
      </c>
      <c r="F257" s="9" t="s">
        <v>144</v>
      </c>
      <c r="G257" s="9" t="s">
        <v>507</v>
      </c>
      <c r="H257" s="9" t="s">
        <v>274</v>
      </c>
      <c r="I257" s="10"/>
      <c r="J257" s="10"/>
      <c r="K257" s="10"/>
      <c r="L257" s="10"/>
      <c r="M257" s="10"/>
      <c r="N257" s="10"/>
    </row>
    <row r="258" customFormat="false" ht="23.85" hidden="false" customHeight="false" outlineLevel="0" collapsed="false">
      <c r="A258" s="9" t="s">
        <v>691</v>
      </c>
      <c r="B258" s="9" t="s">
        <v>257</v>
      </c>
      <c r="C258" s="9" t="s">
        <v>692</v>
      </c>
      <c r="D258" s="9" t="s">
        <v>150</v>
      </c>
      <c r="E258" s="9" t="s">
        <v>129</v>
      </c>
      <c r="F258" s="9" t="s">
        <v>144</v>
      </c>
      <c r="G258" s="9" t="s">
        <v>507</v>
      </c>
      <c r="H258" s="9" t="s">
        <v>274</v>
      </c>
      <c r="I258" s="10"/>
      <c r="J258" s="10"/>
      <c r="K258" s="10"/>
      <c r="L258" s="10"/>
      <c r="M258" s="10"/>
      <c r="N258" s="10"/>
    </row>
    <row r="259" customFormat="false" ht="23.85" hidden="false" customHeight="false" outlineLevel="0" collapsed="false">
      <c r="A259" s="9" t="s">
        <v>693</v>
      </c>
      <c r="B259" s="9" t="s">
        <v>257</v>
      </c>
      <c r="C259" s="9" t="s">
        <v>694</v>
      </c>
      <c r="D259" s="9" t="s">
        <v>150</v>
      </c>
      <c r="E259" s="9" t="s">
        <v>129</v>
      </c>
      <c r="F259" s="9" t="s">
        <v>130</v>
      </c>
      <c r="G259" s="9" t="s">
        <v>507</v>
      </c>
      <c r="H259" s="9" t="s">
        <v>140</v>
      </c>
      <c r="I259" s="10"/>
      <c r="J259" s="10"/>
      <c r="K259" s="10"/>
      <c r="L259" s="10"/>
      <c r="M259" s="10"/>
      <c r="N259" s="10"/>
    </row>
    <row r="260" customFormat="false" ht="23.85" hidden="false" customHeight="false" outlineLevel="0" collapsed="false">
      <c r="A260" s="9" t="s">
        <v>695</v>
      </c>
      <c r="B260" s="9" t="s">
        <v>257</v>
      </c>
      <c r="C260" s="9" t="s">
        <v>696</v>
      </c>
      <c r="D260" s="9" t="s">
        <v>150</v>
      </c>
      <c r="E260" s="9" t="s">
        <v>129</v>
      </c>
      <c r="F260" s="9" t="s">
        <v>151</v>
      </c>
      <c r="G260" s="9" t="s">
        <v>507</v>
      </c>
      <c r="H260" s="9" t="s">
        <v>274</v>
      </c>
      <c r="I260" s="10"/>
      <c r="J260" s="10"/>
      <c r="K260" s="10"/>
      <c r="L260" s="10"/>
      <c r="M260" s="10"/>
      <c r="N260" s="10"/>
    </row>
    <row r="261" customFormat="false" ht="23.85" hidden="false" customHeight="false" outlineLevel="0" collapsed="false">
      <c r="A261" s="9" t="s">
        <v>697</v>
      </c>
      <c r="B261" s="9" t="s">
        <v>257</v>
      </c>
      <c r="C261" s="9" t="s">
        <v>698</v>
      </c>
      <c r="D261" s="9" t="s">
        <v>510</v>
      </c>
      <c r="E261" s="9" t="s">
        <v>226</v>
      </c>
      <c r="F261" s="9" t="s">
        <v>144</v>
      </c>
      <c r="G261" s="9" t="s">
        <v>507</v>
      </c>
      <c r="H261" s="9" t="s">
        <v>274</v>
      </c>
      <c r="I261" s="10"/>
      <c r="J261" s="10"/>
      <c r="K261" s="10"/>
      <c r="L261" s="10"/>
      <c r="M261" s="10"/>
      <c r="N261" s="10"/>
    </row>
    <row r="262" customFormat="false" ht="23.85" hidden="false" customHeight="false" outlineLevel="0" collapsed="false">
      <c r="A262" s="9" t="s">
        <v>699</v>
      </c>
      <c r="B262" s="9" t="s">
        <v>260</v>
      </c>
      <c r="C262" s="9" t="s">
        <v>700</v>
      </c>
      <c r="D262" s="9" t="s">
        <v>150</v>
      </c>
      <c r="E262" s="9" t="s">
        <v>129</v>
      </c>
      <c r="F262" s="9" t="s">
        <v>130</v>
      </c>
      <c r="G262" s="9" t="s">
        <v>507</v>
      </c>
      <c r="H262" s="9" t="s">
        <v>140</v>
      </c>
      <c r="I262" s="10"/>
      <c r="J262" s="10"/>
      <c r="K262" s="10"/>
      <c r="L262" s="10"/>
      <c r="M262" s="10"/>
      <c r="N262" s="10"/>
    </row>
    <row r="263" customFormat="false" ht="23.85" hidden="false" customHeight="false" outlineLevel="0" collapsed="false">
      <c r="A263" s="9" t="s">
        <v>701</v>
      </c>
      <c r="B263" s="9" t="s">
        <v>260</v>
      </c>
      <c r="C263" s="9" t="s">
        <v>702</v>
      </c>
      <c r="D263" s="9" t="s">
        <v>150</v>
      </c>
      <c r="E263" s="9" t="s">
        <v>226</v>
      </c>
      <c r="F263" s="9" t="s">
        <v>144</v>
      </c>
      <c r="G263" s="9" t="s">
        <v>507</v>
      </c>
      <c r="H263" s="9" t="s">
        <v>274</v>
      </c>
      <c r="I263" s="10"/>
      <c r="J263" s="10"/>
      <c r="K263" s="10"/>
      <c r="L263" s="10"/>
      <c r="M263" s="10"/>
      <c r="N263" s="10"/>
    </row>
    <row r="264" customFormat="false" ht="23.85" hidden="false" customHeight="false" outlineLevel="0" collapsed="false">
      <c r="A264" s="9" t="s">
        <v>703</v>
      </c>
      <c r="B264" s="9" t="s">
        <v>260</v>
      </c>
      <c r="C264" s="9" t="s">
        <v>704</v>
      </c>
      <c r="D264" s="9" t="s">
        <v>510</v>
      </c>
      <c r="E264" s="9" t="s">
        <v>129</v>
      </c>
      <c r="F264" s="9" t="s">
        <v>144</v>
      </c>
      <c r="G264" s="9" t="s">
        <v>507</v>
      </c>
      <c r="H264" s="9" t="s">
        <v>274</v>
      </c>
      <c r="I264" s="10"/>
      <c r="J264" s="10"/>
      <c r="K264" s="10"/>
      <c r="L264" s="10"/>
      <c r="M264" s="10"/>
      <c r="N264" s="10"/>
    </row>
    <row r="265" customFormat="false" ht="23.85" hidden="false" customHeight="false" outlineLevel="0" collapsed="false">
      <c r="A265" s="9" t="s">
        <v>705</v>
      </c>
      <c r="B265" s="9" t="s">
        <v>414</v>
      </c>
      <c r="C265" s="9" t="s">
        <v>706</v>
      </c>
      <c r="D265" s="9" t="s">
        <v>150</v>
      </c>
      <c r="E265" s="9" t="s">
        <v>143</v>
      </c>
      <c r="F265" s="9" t="s">
        <v>144</v>
      </c>
      <c r="G265" s="9" t="s">
        <v>507</v>
      </c>
      <c r="H265" s="9" t="s">
        <v>274</v>
      </c>
      <c r="I265" s="10"/>
      <c r="J265" s="10"/>
      <c r="K265" s="10"/>
      <c r="L265" s="10"/>
      <c r="M265" s="10"/>
      <c r="N265" s="10"/>
    </row>
    <row r="266" customFormat="false" ht="23.85" hidden="false" customHeight="false" outlineLevel="0" collapsed="false">
      <c r="A266" s="9" t="s">
        <v>707</v>
      </c>
      <c r="B266" s="9" t="s">
        <v>414</v>
      </c>
      <c r="C266" s="9" t="s">
        <v>708</v>
      </c>
      <c r="D266" s="9" t="s">
        <v>150</v>
      </c>
      <c r="E266" s="9" t="s">
        <v>226</v>
      </c>
      <c r="F266" s="9" t="s">
        <v>144</v>
      </c>
      <c r="G266" s="9" t="s">
        <v>507</v>
      </c>
      <c r="H266" s="9" t="s">
        <v>274</v>
      </c>
      <c r="I266" s="10"/>
      <c r="J266" s="10"/>
      <c r="K266" s="10"/>
      <c r="L266" s="10"/>
      <c r="M266" s="10"/>
      <c r="N266" s="10"/>
    </row>
    <row r="267" customFormat="false" ht="23.85" hidden="false" customHeight="false" outlineLevel="0" collapsed="false">
      <c r="A267" s="9" t="s">
        <v>709</v>
      </c>
      <c r="B267" s="9" t="s">
        <v>414</v>
      </c>
      <c r="C267" s="9" t="s">
        <v>710</v>
      </c>
      <c r="D267" s="9" t="s">
        <v>150</v>
      </c>
      <c r="E267" s="9" t="s">
        <v>226</v>
      </c>
      <c r="F267" s="9" t="s">
        <v>144</v>
      </c>
      <c r="G267" s="9" t="s">
        <v>507</v>
      </c>
      <c r="H267" s="9" t="s">
        <v>274</v>
      </c>
      <c r="I267" s="10"/>
      <c r="J267" s="10"/>
      <c r="K267" s="10"/>
      <c r="L267" s="10"/>
      <c r="M267" s="10"/>
      <c r="N267" s="10"/>
    </row>
    <row r="268" customFormat="false" ht="23.85" hidden="false" customHeight="false" outlineLevel="0" collapsed="false">
      <c r="A268" s="9" t="s">
        <v>711</v>
      </c>
      <c r="B268" s="9" t="s">
        <v>414</v>
      </c>
      <c r="C268" s="9" t="s">
        <v>712</v>
      </c>
      <c r="D268" s="9" t="s">
        <v>510</v>
      </c>
      <c r="E268" s="9" t="s">
        <v>129</v>
      </c>
      <c r="F268" s="9" t="s">
        <v>151</v>
      </c>
      <c r="G268" s="9" t="s">
        <v>507</v>
      </c>
      <c r="H268" s="9" t="s">
        <v>274</v>
      </c>
      <c r="I268" s="10"/>
      <c r="J268" s="10"/>
      <c r="K268" s="10"/>
      <c r="L268" s="10"/>
      <c r="M268" s="10"/>
      <c r="N268" s="10"/>
    </row>
    <row r="269" customFormat="false" ht="23.85" hidden="false" customHeight="false" outlineLevel="0" collapsed="false">
      <c r="A269" s="9" t="s">
        <v>713</v>
      </c>
      <c r="B269" s="9" t="s">
        <v>263</v>
      </c>
      <c r="C269" s="9" t="s">
        <v>714</v>
      </c>
      <c r="D269" s="9" t="s">
        <v>510</v>
      </c>
      <c r="E269" s="9" t="s">
        <v>226</v>
      </c>
      <c r="F269" s="9" t="s">
        <v>144</v>
      </c>
      <c r="G269" s="9" t="s">
        <v>507</v>
      </c>
      <c r="H269" s="9" t="s">
        <v>274</v>
      </c>
      <c r="I269" s="10"/>
      <c r="J269" s="10"/>
      <c r="K269" s="10"/>
      <c r="L269" s="10"/>
      <c r="M269" s="10"/>
      <c r="N269" s="10"/>
    </row>
    <row r="270" customFormat="false" ht="23.85" hidden="false" customHeight="false" outlineLevel="0" collapsed="false">
      <c r="A270" s="9" t="s">
        <v>715</v>
      </c>
      <c r="B270" s="9" t="s">
        <v>263</v>
      </c>
      <c r="C270" s="9" t="s">
        <v>716</v>
      </c>
      <c r="D270" s="9" t="s">
        <v>150</v>
      </c>
      <c r="E270" s="9" t="s">
        <v>129</v>
      </c>
      <c r="F270" s="9" t="s">
        <v>130</v>
      </c>
      <c r="G270" s="9" t="s">
        <v>507</v>
      </c>
      <c r="H270" s="9" t="s">
        <v>140</v>
      </c>
      <c r="I270" s="10"/>
      <c r="J270" s="10"/>
      <c r="K270" s="10"/>
      <c r="L270" s="10"/>
      <c r="M270" s="10"/>
      <c r="N270" s="10"/>
    </row>
    <row r="271" customFormat="false" ht="23.85" hidden="false" customHeight="false" outlineLevel="0" collapsed="false">
      <c r="A271" s="9" t="s">
        <v>717</v>
      </c>
      <c r="B271" s="9" t="s">
        <v>263</v>
      </c>
      <c r="C271" s="9" t="s">
        <v>718</v>
      </c>
      <c r="D271" s="9" t="s">
        <v>150</v>
      </c>
      <c r="E271" s="9" t="s">
        <v>249</v>
      </c>
      <c r="F271" s="9" t="s">
        <v>154</v>
      </c>
      <c r="G271" s="9" t="s">
        <v>507</v>
      </c>
      <c r="H271" s="9" t="s">
        <v>140</v>
      </c>
      <c r="I271" s="10"/>
      <c r="J271" s="10"/>
      <c r="K271" s="10"/>
      <c r="L271" s="10"/>
      <c r="M271" s="10"/>
      <c r="N271" s="10"/>
    </row>
    <row r="272" customFormat="false" ht="23.85" hidden="false" customHeight="false" outlineLevel="0" collapsed="false">
      <c r="A272" s="9" t="s">
        <v>719</v>
      </c>
      <c r="B272" s="9" t="s">
        <v>263</v>
      </c>
      <c r="C272" s="9" t="s">
        <v>720</v>
      </c>
      <c r="D272" s="9" t="s">
        <v>510</v>
      </c>
      <c r="E272" s="9" t="s">
        <v>226</v>
      </c>
      <c r="F272" s="9" t="s">
        <v>144</v>
      </c>
      <c r="G272" s="9" t="s">
        <v>507</v>
      </c>
      <c r="H272" s="9" t="s">
        <v>274</v>
      </c>
      <c r="I272" s="10"/>
      <c r="J272" s="10"/>
      <c r="K272" s="10"/>
      <c r="L272" s="10"/>
      <c r="M272" s="10"/>
      <c r="N272" s="10"/>
    </row>
    <row r="273" customFormat="false" ht="23.85" hidden="false" customHeight="false" outlineLevel="0" collapsed="false">
      <c r="A273" s="9" t="s">
        <v>721</v>
      </c>
      <c r="B273" s="9" t="s">
        <v>271</v>
      </c>
      <c r="C273" s="9" t="s">
        <v>722</v>
      </c>
      <c r="D273" s="9" t="s">
        <v>150</v>
      </c>
      <c r="E273" s="9" t="s">
        <v>226</v>
      </c>
      <c r="F273" s="9" t="s">
        <v>144</v>
      </c>
      <c r="G273" s="9" t="s">
        <v>507</v>
      </c>
      <c r="H273" s="9" t="s">
        <v>274</v>
      </c>
      <c r="I273" s="10"/>
      <c r="J273" s="10"/>
      <c r="K273" s="10"/>
      <c r="L273" s="10"/>
      <c r="M273" s="10"/>
      <c r="N273" s="10"/>
    </row>
    <row r="274" customFormat="false" ht="23.85" hidden="false" customHeight="false" outlineLevel="0" collapsed="false">
      <c r="A274" s="9" t="s">
        <v>723</v>
      </c>
      <c r="B274" s="9" t="s">
        <v>271</v>
      </c>
      <c r="C274" s="9" t="s">
        <v>724</v>
      </c>
      <c r="D274" s="9" t="s">
        <v>150</v>
      </c>
      <c r="E274" s="9" t="s">
        <v>273</v>
      </c>
      <c r="F274" s="9" t="s">
        <v>151</v>
      </c>
      <c r="G274" s="9" t="s">
        <v>507</v>
      </c>
      <c r="H274" s="9" t="s">
        <v>274</v>
      </c>
      <c r="I274" s="10"/>
      <c r="J274" s="10"/>
      <c r="K274" s="10"/>
      <c r="L274" s="10"/>
      <c r="M274" s="10"/>
      <c r="N274" s="10"/>
    </row>
    <row r="275" customFormat="false" ht="23.85" hidden="false" customHeight="false" outlineLevel="0" collapsed="false">
      <c r="A275" s="9" t="s">
        <v>725</v>
      </c>
      <c r="B275" s="9" t="s">
        <v>271</v>
      </c>
      <c r="C275" s="9" t="s">
        <v>726</v>
      </c>
      <c r="D275" s="9" t="s">
        <v>150</v>
      </c>
      <c r="E275" s="9" t="s">
        <v>273</v>
      </c>
      <c r="F275" s="9" t="s">
        <v>151</v>
      </c>
      <c r="G275" s="9" t="s">
        <v>507</v>
      </c>
      <c r="H275" s="9" t="s">
        <v>274</v>
      </c>
      <c r="I275" s="10"/>
      <c r="J275" s="10"/>
      <c r="K275" s="10"/>
      <c r="L275" s="10"/>
      <c r="M275" s="10"/>
      <c r="N275" s="10"/>
    </row>
    <row r="276" customFormat="false" ht="23.85" hidden="false" customHeight="false" outlineLevel="0" collapsed="false">
      <c r="A276" s="9" t="s">
        <v>727</v>
      </c>
      <c r="B276" s="9" t="s">
        <v>423</v>
      </c>
      <c r="C276" s="9" t="s">
        <v>728</v>
      </c>
      <c r="D276" s="9" t="s">
        <v>510</v>
      </c>
      <c r="E276" s="9" t="s">
        <v>226</v>
      </c>
      <c r="F276" s="9" t="s">
        <v>144</v>
      </c>
      <c r="G276" s="9" t="s">
        <v>507</v>
      </c>
      <c r="H276" s="9" t="s">
        <v>274</v>
      </c>
      <c r="I276" s="10"/>
      <c r="J276" s="10"/>
      <c r="K276" s="10"/>
      <c r="L276" s="10"/>
      <c r="M276" s="10"/>
      <c r="N276" s="10"/>
    </row>
    <row r="277" customFormat="false" ht="23.85" hidden="false" customHeight="false" outlineLevel="0" collapsed="false">
      <c r="A277" s="9" t="s">
        <v>729</v>
      </c>
      <c r="B277" s="9" t="s">
        <v>423</v>
      </c>
      <c r="C277" s="9" t="s">
        <v>730</v>
      </c>
      <c r="D277" s="9" t="s">
        <v>150</v>
      </c>
      <c r="E277" s="9" t="s">
        <v>226</v>
      </c>
      <c r="F277" s="9" t="s">
        <v>144</v>
      </c>
      <c r="G277" s="9" t="s">
        <v>507</v>
      </c>
      <c r="H277" s="9" t="s">
        <v>274</v>
      </c>
      <c r="I277" s="10"/>
      <c r="J277" s="10"/>
      <c r="K277" s="10"/>
      <c r="L277" s="10"/>
      <c r="M277" s="10"/>
      <c r="N277" s="10"/>
    </row>
    <row r="278" customFormat="false" ht="23.85" hidden="false" customHeight="false" outlineLevel="0" collapsed="false">
      <c r="A278" s="9" t="s">
        <v>731</v>
      </c>
      <c r="B278" s="9" t="s">
        <v>423</v>
      </c>
      <c r="C278" s="9" t="s">
        <v>732</v>
      </c>
      <c r="D278" s="9" t="s">
        <v>150</v>
      </c>
      <c r="E278" s="9" t="s">
        <v>129</v>
      </c>
      <c r="F278" s="9" t="s">
        <v>154</v>
      </c>
      <c r="G278" s="9" t="s">
        <v>507</v>
      </c>
      <c r="H278" s="9" t="s">
        <v>140</v>
      </c>
      <c r="I278" s="10"/>
      <c r="J278" s="10"/>
      <c r="K278" s="10"/>
      <c r="L278" s="10"/>
      <c r="M278" s="10"/>
      <c r="N278" s="10"/>
    </row>
    <row r="279" customFormat="false" ht="23.85" hidden="false" customHeight="false" outlineLevel="0" collapsed="false">
      <c r="A279" s="9" t="s">
        <v>733</v>
      </c>
      <c r="B279" s="9" t="s">
        <v>423</v>
      </c>
      <c r="C279" s="9" t="s">
        <v>734</v>
      </c>
      <c r="D279" s="9" t="s">
        <v>150</v>
      </c>
      <c r="E279" s="9" t="s">
        <v>129</v>
      </c>
      <c r="F279" s="9" t="s">
        <v>154</v>
      </c>
      <c r="G279" s="9" t="s">
        <v>507</v>
      </c>
      <c r="H279" s="9" t="s">
        <v>140</v>
      </c>
      <c r="I279" s="10"/>
      <c r="J279" s="10"/>
      <c r="K279" s="10"/>
      <c r="L279" s="10"/>
      <c r="M279" s="10"/>
      <c r="N279" s="10"/>
    </row>
    <row r="280" customFormat="false" ht="23.85" hidden="false" customHeight="false" outlineLevel="0" collapsed="false">
      <c r="A280" s="9" t="s">
        <v>735</v>
      </c>
      <c r="B280" s="9" t="s">
        <v>423</v>
      </c>
      <c r="C280" s="9" t="s">
        <v>736</v>
      </c>
      <c r="D280" s="9" t="s">
        <v>150</v>
      </c>
      <c r="E280" s="9" t="s">
        <v>143</v>
      </c>
      <c r="F280" s="9" t="s">
        <v>151</v>
      </c>
      <c r="G280" s="9" t="s">
        <v>507</v>
      </c>
      <c r="H280" s="9" t="s">
        <v>274</v>
      </c>
      <c r="I280" s="10"/>
      <c r="J280" s="10"/>
      <c r="K280" s="10"/>
      <c r="L280" s="10"/>
      <c r="M280" s="10"/>
      <c r="N280" s="10"/>
    </row>
    <row r="281" customFormat="false" ht="23.85" hidden="false" customHeight="false" outlineLevel="0" collapsed="false">
      <c r="A281" s="9" t="s">
        <v>737</v>
      </c>
      <c r="B281" s="9" t="s">
        <v>423</v>
      </c>
      <c r="C281" s="9" t="s">
        <v>738</v>
      </c>
      <c r="D281" s="9" t="s">
        <v>150</v>
      </c>
      <c r="E281" s="9" t="s">
        <v>129</v>
      </c>
      <c r="F281" s="9" t="s">
        <v>144</v>
      </c>
      <c r="G281" s="9" t="s">
        <v>507</v>
      </c>
      <c r="H281" s="9" t="s">
        <v>274</v>
      </c>
      <c r="I281" s="10"/>
      <c r="J281" s="10"/>
      <c r="K281" s="10"/>
      <c r="L281" s="10"/>
      <c r="M281" s="10"/>
      <c r="N281" s="10"/>
    </row>
    <row r="282" customFormat="false" ht="23.85" hidden="false" customHeight="false" outlineLevel="0" collapsed="false">
      <c r="A282" s="9" t="s">
        <v>739</v>
      </c>
      <c r="B282" s="9" t="s">
        <v>423</v>
      </c>
      <c r="C282" s="9" t="s">
        <v>740</v>
      </c>
      <c r="D282" s="9" t="s">
        <v>150</v>
      </c>
      <c r="E282" s="9" t="s">
        <v>129</v>
      </c>
      <c r="F282" s="9" t="s">
        <v>144</v>
      </c>
      <c r="G282" s="9" t="s">
        <v>507</v>
      </c>
      <c r="H282" s="9" t="s">
        <v>274</v>
      </c>
      <c r="I282" s="10"/>
      <c r="J282" s="10"/>
      <c r="K282" s="10"/>
      <c r="L282" s="10"/>
      <c r="M282" s="10"/>
      <c r="N282" s="10"/>
    </row>
    <row r="283" customFormat="false" ht="23.85" hidden="false" customHeight="false" outlineLevel="0" collapsed="false">
      <c r="A283" s="9" t="s">
        <v>741</v>
      </c>
      <c r="B283" s="9" t="s">
        <v>284</v>
      </c>
      <c r="C283" s="9" t="s">
        <v>742</v>
      </c>
      <c r="D283" s="9" t="s">
        <v>150</v>
      </c>
      <c r="E283" s="9" t="s">
        <v>129</v>
      </c>
      <c r="F283" s="9" t="s">
        <v>144</v>
      </c>
      <c r="G283" s="9" t="s">
        <v>507</v>
      </c>
      <c r="H283" s="9" t="s">
        <v>274</v>
      </c>
      <c r="I283" s="10"/>
      <c r="J283" s="10"/>
      <c r="K283" s="10"/>
      <c r="L283" s="10"/>
      <c r="M283" s="10"/>
      <c r="N283" s="10"/>
    </row>
    <row r="284" customFormat="false" ht="23.85" hidden="false" customHeight="false" outlineLevel="0" collapsed="false">
      <c r="A284" s="9" t="s">
        <v>743</v>
      </c>
      <c r="B284" s="9" t="s">
        <v>284</v>
      </c>
      <c r="C284" s="9" t="s">
        <v>744</v>
      </c>
      <c r="D284" s="9" t="s">
        <v>150</v>
      </c>
      <c r="E284" s="9" t="s">
        <v>129</v>
      </c>
      <c r="F284" s="9" t="s">
        <v>144</v>
      </c>
      <c r="G284" s="9" t="s">
        <v>507</v>
      </c>
      <c r="H284" s="9" t="s">
        <v>274</v>
      </c>
      <c r="I284" s="10"/>
      <c r="J284" s="10"/>
      <c r="K284" s="10"/>
      <c r="L284" s="10"/>
      <c r="M284" s="10"/>
      <c r="N284" s="10"/>
    </row>
    <row r="285" customFormat="false" ht="23.85" hidden="false" customHeight="false" outlineLevel="0" collapsed="false">
      <c r="A285" s="9" t="s">
        <v>745</v>
      </c>
      <c r="B285" s="9" t="s">
        <v>284</v>
      </c>
      <c r="C285" s="9" t="s">
        <v>746</v>
      </c>
      <c r="D285" s="9" t="s">
        <v>510</v>
      </c>
      <c r="E285" s="9" t="s">
        <v>226</v>
      </c>
      <c r="F285" s="9" t="s">
        <v>144</v>
      </c>
      <c r="G285" s="9" t="s">
        <v>507</v>
      </c>
      <c r="H285" s="9" t="s">
        <v>274</v>
      </c>
      <c r="I285" s="10"/>
      <c r="J285" s="10"/>
      <c r="K285" s="10"/>
      <c r="L285" s="10"/>
      <c r="M285" s="10"/>
      <c r="N285" s="10"/>
    </row>
    <row r="286" customFormat="false" ht="23.85" hidden="false" customHeight="false" outlineLevel="0" collapsed="false">
      <c r="A286" s="9" t="s">
        <v>747</v>
      </c>
      <c r="B286" s="9" t="s">
        <v>284</v>
      </c>
      <c r="C286" s="9" t="s">
        <v>748</v>
      </c>
      <c r="D286" s="9" t="s">
        <v>150</v>
      </c>
      <c r="E286" s="9" t="s">
        <v>129</v>
      </c>
      <c r="F286" s="9" t="s">
        <v>144</v>
      </c>
      <c r="G286" s="9" t="s">
        <v>507</v>
      </c>
      <c r="H286" s="9" t="s">
        <v>274</v>
      </c>
      <c r="I286" s="10"/>
      <c r="J286" s="10"/>
      <c r="K286" s="10"/>
      <c r="L286" s="10"/>
      <c r="M286" s="10"/>
      <c r="N286" s="10"/>
    </row>
    <row r="287" customFormat="false" ht="23.85" hidden="false" customHeight="false" outlineLevel="0" collapsed="false">
      <c r="A287" s="9" t="s">
        <v>749</v>
      </c>
      <c r="B287" s="9" t="s">
        <v>284</v>
      </c>
      <c r="C287" s="9" t="s">
        <v>750</v>
      </c>
      <c r="D287" s="9" t="s">
        <v>150</v>
      </c>
      <c r="E287" s="9" t="s">
        <v>129</v>
      </c>
      <c r="F287" s="9" t="s">
        <v>144</v>
      </c>
      <c r="G287" s="9" t="s">
        <v>507</v>
      </c>
      <c r="H287" s="9" t="s">
        <v>274</v>
      </c>
      <c r="I287" s="10"/>
      <c r="J287" s="10"/>
      <c r="K287" s="10"/>
      <c r="L287" s="10"/>
      <c r="M287" s="10"/>
      <c r="N287" s="10"/>
    </row>
    <row r="288" customFormat="false" ht="23.85" hidden="false" customHeight="false" outlineLevel="0" collapsed="false">
      <c r="A288" s="9" t="s">
        <v>751</v>
      </c>
      <c r="B288" s="9" t="s">
        <v>436</v>
      </c>
      <c r="C288" s="9" t="s">
        <v>752</v>
      </c>
      <c r="D288" s="9" t="s">
        <v>150</v>
      </c>
      <c r="E288" s="9" t="s">
        <v>129</v>
      </c>
      <c r="F288" s="9" t="s">
        <v>144</v>
      </c>
      <c r="G288" s="9" t="s">
        <v>507</v>
      </c>
      <c r="H288" s="9" t="s">
        <v>274</v>
      </c>
      <c r="I288" s="10"/>
      <c r="J288" s="10"/>
      <c r="K288" s="10"/>
      <c r="L288" s="10"/>
      <c r="M288" s="10"/>
      <c r="N288" s="10"/>
    </row>
    <row r="289" customFormat="false" ht="23.85" hidden="false" customHeight="false" outlineLevel="0" collapsed="false">
      <c r="A289" s="9" t="s">
        <v>753</v>
      </c>
      <c r="B289" s="9" t="s">
        <v>436</v>
      </c>
      <c r="C289" s="9" t="s">
        <v>754</v>
      </c>
      <c r="D289" s="9" t="s">
        <v>510</v>
      </c>
      <c r="E289" s="9" t="s">
        <v>129</v>
      </c>
      <c r="F289" s="9" t="s">
        <v>144</v>
      </c>
      <c r="G289" s="9" t="s">
        <v>507</v>
      </c>
      <c r="H289" s="9" t="s">
        <v>274</v>
      </c>
      <c r="I289" s="10"/>
      <c r="J289" s="10"/>
      <c r="K289" s="10"/>
      <c r="L289" s="10"/>
      <c r="M289" s="10"/>
      <c r="N289" s="10"/>
    </row>
    <row r="290" customFormat="false" ht="23.85" hidden="false" customHeight="false" outlineLevel="0" collapsed="false">
      <c r="A290" s="9" t="s">
        <v>755</v>
      </c>
      <c r="B290" s="9" t="s">
        <v>436</v>
      </c>
      <c r="C290" s="9" t="s">
        <v>756</v>
      </c>
      <c r="D290" s="9" t="s">
        <v>150</v>
      </c>
      <c r="E290" s="9" t="s">
        <v>129</v>
      </c>
      <c r="F290" s="9" t="s">
        <v>144</v>
      </c>
      <c r="G290" s="9" t="s">
        <v>507</v>
      </c>
      <c r="H290" s="9" t="s">
        <v>274</v>
      </c>
      <c r="I290" s="10"/>
      <c r="J290" s="10"/>
      <c r="K290" s="10"/>
      <c r="L290" s="10"/>
      <c r="M290" s="10"/>
      <c r="N290" s="10"/>
    </row>
    <row r="291" customFormat="false" ht="35.05" hidden="false" customHeight="false" outlineLevel="0" collapsed="false">
      <c r="A291" s="9" t="s">
        <v>757</v>
      </c>
      <c r="B291" s="9" t="s">
        <v>293</v>
      </c>
      <c r="C291" s="9" t="s">
        <v>758</v>
      </c>
      <c r="D291" s="9" t="s">
        <v>150</v>
      </c>
      <c r="E291" s="9" t="s">
        <v>129</v>
      </c>
      <c r="F291" s="9" t="s">
        <v>130</v>
      </c>
      <c r="G291" s="9" t="s">
        <v>507</v>
      </c>
      <c r="H291" s="9" t="s">
        <v>140</v>
      </c>
      <c r="I291" s="10"/>
      <c r="J291" s="10"/>
      <c r="K291" s="10"/>
      <c r="L291" s="10"/>
      <c r="M291" s="10"/>
      <c r="N291" s="10"/>
    </row>
    <row r="292" customFormat="false" ht="35.05" hidden="false" customHeight="false" outlineLevel="0" collapsed="false">
      <c r="A292" s="9" t="s">
        <v>759</v>
      </c>
      <c r="B292" s="9" t="s">
        <v>293</v>
      </c>
      <c r="C292" s="9" t="s">
        <v>760</v>
      </c>
      <c r="D292" s="9" t="s">
        <v>150</v>
      </c>
      <c r="E292" s="9" t="s">
        <v>129</v>
      </c>
      <c r="F292" s="9" t="s">
        <v>130</v>
      </c>
      <c r="G292" s="9" t="s">
        <v>507</v>
      </c>
      <c r="H292" s="9" t="s">
        <v>140</v>
      </c>
      <c r="I292" s="10"/>
      <c r="J292" s="10"/>
      <c r="K292" s="10"/>
      <c r="L292" s="10"/>
      <c r="M292" s="10"/>
      <c r="N292" s="10"/>
    </row>
    <row r="293" customFormat="false" ht="35.05" hidden="false" customHeight="false" outlineLevel="0" collapsed="false">
      <c r="A293" s="9" t="s">
        <v>761</v>
      </c>
      <c r="B293" s="9" t="s">
        <v>293</v>
      </c>
      <c r="C293" s="9" t="s">
        <v>762</v>
      </c>
      <c r="D293" s="9" t="s">
        <v>150</v>
      </c>
      <c r="E293" s="9" t="s">
        <v>226</v>
      </c>
      <c r="F293" s="9" t="s">
        <v>144</v>
      </c>
      <c r="G293" s="9" t="s">
        <v>507</v>
      </c>
      <c r="H293" s="9" t="s">
        <v>274</v>
      </c>
      <c r="I293" s="10"/>
      <c r="J293" s="10"/>
      <c r="K293" s="10"/>
      <c r="L293" s="10"/>
      <c r="M293" s="10"/>
      <c r="N293" s="10"/>
    </row>
    <row r="294" customFormat="false" ht="35.05" hidden="false" customHeight="false" outlineLevel="0" collapsed="false">
      <c r="A294" s="9" t="s">
        <v>763</v>
      </c>
      <c r="B294" s="9" t="s">
        <v>293</v>
      </c>
      <c r="C294" s="9" t="s">
        <v>764</v>
      </c>
      <c r="D294" s="9" t="s">
        <v>150</v>
      </c>
      <c r="E294" s="9" t="s">
        <v>143</v>
      </c>
      <c r="F294" s="9" t="s">
        <v>154</v>
      </c>
      <c r="G294" s="9" t="s">
        <v>507</v>
      </c>
      <c r="H294" s="9" t="s">
        <v>140</v>
      </c>
      <c r="I294" s="10"/>
      <c r="J294" s="10"/>
      <c r="K294" s="10"/>
      <c r="L294" s="10"/>
      <c r="M294" s="10"/>
      <c r="N294" s="10"/>
    </row>
    <row r="295" customFormat="false" ht="35.05" hidden="false" customHeight="false" outlineLevel="0" collapsed="false">
      <c r="A295" s="9" t="s">
        <v>765</v>
      </c>
      <c r="B295" s="9" t="s">
        <v>293</v>
      </c>
      <c r="C295" s="9" t="s">
        <v>766</v>
      </c>
      <c r="D295" s="9" t="s">
        <v>150</v>
      </c>
      <c r="E295" s="9" t="s">
        <v>129</v>
      </c>
      <c r="F295" s="9" t="s">
        <v>130</v>
      </c>
      <c r="G295" s="9" t="s">
        <v>507</v>
      </c>
      <c r="H295" s="9" t="s">
        <v>140</v>
      </c>
      <c r="I295" s="10"/>
      <c r="J295" s="10"/>
      <c r="K295" s="10"/>
      <c r="L295" s="10"/>
      <c r="M295" s="10"/>
      <c r="N295" s="10"/>
    </row>
    <row r="296" customFormat="false" ht="35.05" hidden="false" customHeight="false" outlineLevel="0" collapsed="false">
      <c r="A296" s="9" t="s">
        <v>767</v>
      </c>
      <c r="B296" s="9" t="s">
        <v>293</v>
      </c>
      <c r="C296" s="9" t="s">
        <v>768</v>
      </c>
      <c r="D296" s="9" t="s">
        <v>150</v>
      </c>
      <c r="E296" s="9" t="s">
        <v>129</v>
      </c>
      <c r="F296" s="9" t="s">
        <v>144</v>
      </c>
      <c r="G296" s="9" t="s">
        <v>507</v>
      </c>
      <c r="H296" s="9" t="s">
        <v>274</v>
      </c>
      <c r="I296" s="10"/>
      <c r="J296" s="10"/>
      <c r="K296" s="10"/>
      <c r="L296" s="10"/>
      <c r="M296" s="10"/>
      <c r="N296" s="10"/>
    </row>
    <row r="297" customFormat="false" ht="35.05" hidden="false" customHeight="false" outlineLevel="0" collapsed="false">
      <c r="A297" s="9" t="s">
        <v>769</v>
      </c>
      <c r="B297" s="9" t="s">
        <v>293</v>
      </c>
      <c r="C297" s="9" t="s">
        <v>770</v>
      </c>
      <c r="D297" s="9" t="s">
        <v>150</v>
      </c>
      <c r="E297" s="9" t="s">
        <v>129</v>
      </c>
      <c r="F297" s="9" t="s">
        <v>151</v>
      </c>
      <c r="G297" s="9" t="s">
        <v>507</v>
      </c>
      <c r="H297" s="9" t="s">
        <v>274</v>
      </c>
      <c r="I297" s="10"/>
      <c r="J297" s="10"/>
      <c r="K297" s="10"/>
      <c r="L297" s="10"/>
      <c r="M297" s="10"/>
      <c r="N297" s="10"/>
    </row>
    <row r="298" customFormat="false" ht="35.05" hidden="false" customHeight="false" outlineLevel="0" collapsed="false">
      <c r="A298" s="9" t="s">
        <v>771</v>
      </c>
      <c r="B298" s="9" t="s">
        <v>293</v>
      </c>
      <c r="C298" s="9" t="s">
        <v>772</v>
      </c>
      <c r="D298" s="9" t="s">
        <v>150</v>
      </c>
      <c r="E298" s="9" t="s">
        <v>183</v>
      </c>
      <c r="F298" s="9" t="s">
        <v>130</v>
      </c>
      <c r="G298" s="9" t="s">
        <v>507</v>
      </c>
      <c r="H298" s="9" t="s">
        <v>140</v>
      </c>
      <c r="I298" s="10"/>
      <c r="J298" s="10"/>
      <c r="K298" s="10"/>
      <c r="L298" s="10"/>
      <c r="M298" s="10"/>
      <c r="N298" s="10"/>
    </row>
    <row r="299" customFormat="false" ht="35.05" hidden="false" customHeight="false" outlineLevel="0" collapsed="false">
      <c r="A299" s="9" t="s">
        <v>773</v>
      </c>
      <c r="B299" s="9" t="s">
        <v>293</v>
      </c>
      <c r="C299" s="9" t="s">
        <v>774</v>
      </c>
      <c r="D299" s="9" t="s">
        <v>150</v>
      </c>
      <c r="E299" s="9" t="s">
        <v>226</v>
      </c>
      <c r="F299" s="9" t="s">
        <v>144</v>
      </c>
      <c r="G299" s="9" t="s">
        <v>507</v>
      </c>
      <c r="H299" s="9" t="s">
        <v>274</v>
      </c>
      <c r="I299" s="10"/>
      <c r="J299" s="10"/>
      <c r="K299" s="10"/>
      <c r="L299" s="10"/>
      <c r="M299" s="10"/>
      <c r="N299" s="10"/>
    </row>
    <row r="300" customFormat="false" ht="35.05" hidden="false" customHeight="false" outlineLevel="0" collapsed="false">
      <c r="A300" s="9" t="s">
        <v>775</v>
      </c>
      <c r="B300" s="9" t="s">
        <v>293</v>
      </c>
      <c r="C300" s="9" t="s">
        <v>776</v>
      </c>
      <c r="D300" s="9" t="s">
        <v>510</v>
      </c>
      <c r="E300" s="9" t="s">
        <v>129</v>
      </c>
      <c r="F300" s="9" t="s">
        <v>144</v>
      </c>
      <c r="G300" s="9" t="s">
        <v>507</v>
      </c>
      <c r="H300" s="9" t="s">
        <v>274</v>
      </c>
      <c r="I300" s="10"/>
      <c r="J300" s="10"/>
      <c r="K300" s="10"/>
      <c r="L300" s="10"/>
      <c r="M300" s="10"/>
      <c r="N300" s="10"/>
    </row>
    <row r="301" customFormat="false" ht="35.05" hidden="false" customHeight="false" outlineLevel="0" collapsed="false">
      <c r="A301" s="9" t="s">
        <v>777</v>
      </c>
      <c r="B301" s="9" t="s">
        <v>293</v>
      </c>
      <c r="C301" s="9" t="s">
        <v>778</v>
      </c>
      <c r="D301" s="9" t="s">
        <v>510</v>
      </c>
      <c r="E301" s="9" t="s">
        <v>143</v>
      </c>
      <c r="F301" s="9" t="s">
        <v>144</v>
      </c>
      <c r="G301" s="9" t="s">
        <v>507</v>
      </c>
      <c r="H301" s="9" t="s">
        <v>274</v>
      </c>
      <c r="I301" s="10"/>
      <c r="J301" s="10"/>
      <c r="K301" s="10"/>
      <c r="L301" s="10"/>
      <c r="M301" s="10"/>
      <c r="N301" s="10"/>
    </row>
    <row r="302" customFormat="false" ht="23.85" hidden="false" customHeight="false" outlineLevel="0" collapsed="false">
      <c r="A302" s="9" t="s">
        <v>779</v>
      </c>
      <c r="B302" s="9" t="s">
        <v>314</v>
      </c>
      <c r="C302" s="9" t="s">
        <v>780</v>
      </c>
      <c r="D302" s="9" t="s">
        <v>150</v>
      </c>
      <c r="E302" s="9" t="s">
        <v>129</v>
      </c>
      <c r="F302" s="9" t="s">
        <v>144</v>
      </c>
      <c r="G302" s="9" t="s">
        <v>507</v>
      </c>
      <c r="H302" s="9" t="s">
        <v>274</v>
      </c>
      <c r="I302" s="10"/>
      <c r="J302" s="10"/>
      <c r="K302" s="10"/>
      <c r="L302" s="10"/>
      <c r="M302" s="10"/>
      <c r="N302" s="10"/>
    </row>
    <row r="303" customFormat="false" ht="23.85" hidden="false" customHeight="false" outlineLevel="0" collapsed="false">
      <c r="A303" s="9" t="s">
        <v>781</v>
      </c>
      <c r="B303" s="9" t="s">
        <v>314</v>
      </c>
      <c r="C303" s="9" t="s">
        <v>782</v>
      </c>
      <c r="D303" s="9" t="s">
        <v>150</v>
      </c>
      <c r="E303" s="9" t="s">
        <v>129</v>
      </c>
      <c r="F303" s="9" t="s">
        <v>151</v>
      </c>
      <c r="G303" s="9" t="s">
        <v>507</v>
      </c>
      <c r="H303" s="9" t="s">
        <v>274</v>
      </c>
      <c r="I303" s="10"/>
      <c r="J303" s="10"/>
      <c r="K303" s="10"/>
      <c r="L303" s="10"/>
      <c r="M303" s="10"/>
      <c r="N303" s="10"/>
    </row>
    <row r="304" customFormat="false" ht="23.85" hidden="false" customHeight="false" outlineLevel="0" collapsed="false">
      <c r="A304" s="9" t="s">
        <v>783</v>
      </c>
      <c r="B304" s="9" t="s">
        <v>314</v>
      </c>
      <c r="C304" s="9" t="s">
        <v>784</v>
      </c>
      <c r="D304" s="9" t="s">
        <v>150</v>
      </c>
      <c r="E304" s="9" t="s">
        <v>129</v>
      </c>
      <c r="F304" s="9" t="s">
        <v>144</v>
      </c>
      <c r="G304" s="9" t="s">
        <v>507</v>
      </c>
      <c r="H304" s="9" t="s">
        <v>274</v>
      </c>
      <c r="I304" s="10"/>
      <c r="J304" s="10"/>
      <c r="K304" s="10"/>
      <c r="L304" s="10"/>
      <c r="M304" s="10"/>
      <c r="N304" s="10"/>
    </row>
    <row r="305" customFormat="false" ht="23.85" hidden="false" customHeight="false" outlineLevel="0" collapsed="false">
      <c r="A305" s="9" t="s">
        <v>785</v>
      </c>
      <c r="B305" s="9" t="s">
        <v>314</v>
      </c>
      <c r="C305" s="9" t="s">
        <v>786</v>
      </c>
      <c r="D305" s="9" t="s">
        <v>150</v>
      </c>
      <c r="E305" s="9" t="s">
        <v>129</v>
      </c>
      <c r="F305" s="9" t="s">
        <v>144</v>
      </c>
      <c r="G305" s="9" t="s">
        <v>507</v>
      </c>
      <c r="H305" s="9" t="s">
        <v>274</v>
      </c>
      <c r="I305" s="10"/>
      <c r="J305" s="10"/>
      <c r="K305" s="10"/>
      <c r="L305" s="10"/>
      <c r="M305" s="10"/>
      <c r="N305" s="10"/>
    </row>
    <row r="306" customFormat="false" ht="23.85" hidden="false" customHeight="false" outlineLevel="0" collapsed="false">
      <c r="A306" s="9" t="s">
        <v>787</v>
      </c>
      <c r="B306" s="9" t="s">
        <v>314</v>
      </c>
      <c r="C306" s="9" t="s">
        <v>788</v>
      </c>
      <c r="D306" s="9" t="s">
        <v>150</v>
      </c>
      <c r="E306" s="9" t="s">
        <v>129</v>
      </c>
      <c r="F306" s="9" t="s">
        <v>151</v>
      </c>
      <c r="G306" s="9" t="s">
        <v>507</v>
      </c>
      <c r="H306" s="9" t="s">
        <v>274</v>
      </c>
      <c r="I306" s="10"/>
      <c r="J306" s="10"/>
      <c r="K306" s="10"/>
      <c r="L306" s="10"/>
      <c r="M306" s="10"/>
      <c r="N306" s="10"/>
    </row>
    <row r="307" customFormat="false" ht="23.85" hidden="false" customHeight="false" outlineLevel="0" collapsed="false">
      <c r="A307" s="9" t="s">
        <v>789</v>
      </c>
      <c r="B307" s="9" t="s">
        <v>314</v>
      </c>
      <c r="C307" s="9" t="s">
        <v>790</v>
      </c>
      <c r="D307" s="9" t="s">
        <v>150</v>
      </c>
      <c r="E307" s="9" t="s">
        <v>129</v>
      </c>
      <c r="F307" s="9" t="s">
        <v>144</v>
      </c>
      <c r="G307" s="9" t="s">
        <v>507</v>
      </c>
      <c r="H307" s="9" t="s">
        <v>274</v>
      </c>
      <c r="I307" s="10"/>
      <c r="J307" s="10"/>
      <c r="K307" s="10"/>
      <c r="L307" s="10"/>
      <c r="M307" s="10"/>
      <c r="N307" s="10"/>
    </row>
    <row r="308" customFormat="false" ht="23.85" hidden="false" customHeight="false" outlineLevel="0" collapsed="false">
      <c r="A308" s="9" t="s">
        <v>791</v>
      </c>
      <c r="B308" s="9" t="s">
        <v>314</v>
      </c>
      <c r="C308" s="9" t="s">
        <v>792</v>
      </c>
      <c r="D308" s="9" t="s">
        <v>150</v>
      </c>
      <c r="E308" s="9" t="s">
        <v>129</v>
      </c>
      <c r="F308" s="9" t="s">
        <v>130</v>
      </c>
      <c r="G308" s="9" t="s">
        <v>507</v>
      </c>
      <c r="H308" s="9" t="s">
        <v>140</v>
      </c>
      <c r="I308" s="10"/>
      <c r="J308" s="10"/>
      <c r="K308" s="10"/>
      <c r="L308" s="10"/>
      <c r="M308" s="10"/>
      <c r="N308" s="10"/>
    </row>
    <row r="309" customFormat="false" ht="23.85" hidden="false" customHeight="false" outlineLevel="0" collapsed="false">
      <c r="A309" s="9" t="s">
        <v>793</v>
      </c>
      <c r="B309" s="9" t="s">
        <v>314</v>
      </c>
      <c r="C309" s="9" t="s">
        <v>794</v>
      </c>
      <c r="D309" s="9" t="s">
        <v>150</v>
      </c>
      <c r="E309" s="9" t="s">
        <v>143</v>
      </c>
      <c r="F309" s="9" t="s">
        <v>151</v>
      </c>
      <c r="G309" s="9" t="s">
        <v>507</v>
      </c>
      <c r="H309" s="9" t="s">
        <v>274</v>
      </c>
      <c r="I309" s="10"/>
      <c r="J309" s="10"/>
      <c r="K309" s="10"/>
      <c r="L309" s="10"/>
      <c r="M309" s="10"/>
      <c r="N309" s="10"/>
    </row>
    <row r="310" customFormat="false" ht="23.85" hidden="false" customHeight="false" outlineLevel="0" collapsed="false">
      <c r="A310" s="9" t="s">
        <v>795</v>
      </c>
      <c r="B310" s="9" t="s">
        <v>314</v>
      </c>
      <c r="C310" s="9" t="s">
        <v>796</v>
      </c>
      <c r="D310" s="9" t="s">
        <v>510</v>
      </c>
      <c r="E310" s="9" t="s">
        <v>129</v>
      </c>
      <c r="F310" s="9" t="s">
        <v>144</v>
      </c>
      <c r="G310" s="9" t="s">
        <v>507</v>
      </c>
      <c r="H310" s="9" t="s">
        <v>274</v>
      </c>
      <c r="I310" s="10"/>
      <c r="J310" s="10"/>
      <c r="K310" s="10"/>
      <c r="L310" s="10"/>
      <c r="M310" s="10"/>
      <c r="N310" s="10"/>
    </row>
    <row r="311" customFormat="false" ht="23.85" hidden="false" customHeight="false" outlineLevel="0" collapsed="false">
      <c r="A311" s="9" t="s">
        <v>797</v>
      </c>
      <c r="B311" s="9" t="s">
        <v>314</v>
      </c>
      <c r="C311" s="9" t="s">
        <v>798</v>
      </c>
      <c r="D311" s="9" t="s">
        <v>150</v>
      </c>
      <c r="E311" s="9" t="s">
        <v>183</v>
      </c>
      <c r="F311" s="9" t="s">
        <v>130</v>
      </c>
      <c r="G311" s="9" t="s">
        <v>507</v>
      </c>
      <c r="H311" s="9" t="s">
        <v>140</v>
      </c>
      <c r="I311" s="10"/>
      <c r="J311" s="10"/>
      <c r="K311" s="10"/>
      <c r="L311" s="10"/>
      <c r="M311" s="10"/>
      <c r="N311" s="10"/>
    </row>
    <row r="312" customFormat="false" ht="23.85" hidden="false" customHeight="false" outlineLevel="0" collapsed="false">
      <c r="A312" s="9" t="s">
        <v>799</v>
      </c>
      <c r="B312" s="9" t="s">
        <v>327</v>
      </c>
      <c r="C312" s="9" t="s">
        <v>800</v>
      </c>
      <c r="D312" s="9" t="s">
        <v>150</v>
      </c>
      <c r="E312" s="9" t="s">
        <v>129</v>
      </c>
      <c r="F312" s="9" t="s">
        <v>154</v>
      </c>
      <c r="G312" s="9" t="s">
        <v>507</v>
      </c>
      <c r="H312" s="9" t="s">
        <v>140</v>
      </c>
      <c r="I312" s="10"/>
      <c r="J312" s="10"/>
      <c r="K312" s="10"/>
      <c r="L312" s="10"/>
      <c r="M312" s="10"/>
      <c r="N312" s="10"/>
    </row>
    <row r="313" customFormat="false" ht="23.85" hidden="false" customHeight="false" outlineLevel="0" collapsed="false">
      <c r="A313" s="9" t="s">
        <v>801</v>
      </c>
      <c r="B313" s="9" t="s">
        <v>327</v>
      </c>
      <c r="C313" s="9" t="s">
        <v>564</v>
      </c>
      <c r="D313" s="9" t="s">
        <v>150</v>
      </c>
      <c r="E313" s="9" t="s">
        <v>129</v>
      </c>
      <c r="F313" s="9" t="s">
        <v>144</v>
      </c>
      <c r="G313" s="9" t="s">
        <v>507</v>
      </c>
      <c r="H313" s="9" t="s">
        <v>274</v>
      </c>
      <c r="I313" s="10"/>
      <c r="J313" s="10"/>
      <c r="K313" s="10"/>
      <c r="L313" s="10"/>
      <c r="M313" s="10"/>
      <c r="N313" s="10"/>
    </row>
    <row r="314" customFormat="false" ht="23.85" hidden="false" customHeight="false" outlineLevel="0" collapsed="false">
      <c r="A314" s="9" t="s">
        <v>802</v>
      </c>
      <c r="B314" s="9" t="s">
        <v>327</v>
      </c>
      <c r="C314" s="9" t="s">
        <v>544</v>
      </c>
      <c r="D314" s="9" t="s">
        <v>150</v>
      </c>
      <c r="E314" s="9" t="s">
        <v>226</v>
      </c>
      <c r="F314" s="9" t="s">
        <v>144</v>
      </c>
      <c r="G314" s="9" t="s">
        <v>507</v>
      </c>
      <c r="H314" s="9" t="s">
        <v>274</v>
      </c>
      <c r="I314" s="10"/>
      <c r="J314" s="10"/>
      <c r="K314" s="10"/>
      <c r="L314" s="10"/>
      <c r="M314" s="10"/>
      <c r="N314" s="10"/>
    </row>
    <row r="315" customFormat="false" ht="23.85" hidden="false" customHeight="false" outlineLevel="0" collapsed="false">
      <c r="A315" s="9" t="s">
        <v>803</v>
      </c>
      <c r="B315" s="9" t="s">
        <v>327</v>
      </c>
      <c r="C315" s="9" t="s">
        <v>804</v>
      </c>
      <c r="D315" s="9" t="s">
        <v>510</v>
      </c>
      <c r="E315" s="9" t="s">
        <v>226</v>
      </c>
      <c r="F315" s="9" t="s">
        <v>144</v>
      </c>
      <c r="G315" s="9" t="s">
        <v>507</v>
      </c>
      <c r="H315" s="9" t="s">
        <v>274</v>
      </c>
      <c r="I315" s="10"/>
      <c r="J315" s="10"/>
      <c r="K315" s="10"/>
      <c r="L315" s="10"/>
      <c r="M315" s="10"/>
      <c r="N315" s="10"/>
    </row>
    <row r="316" customFormat="false" ht="23.85" hidden="false" customHeight="false" outlineLevel="0" collapsed="false">
      <c r="A316" s="9" t="s">
        <v>805</v>
      </c>
      <c r="B316" s="9" t="s">
        <v>327</v>
      </c>
      <c r="C316" s="9" t="s">
        <v>806</v>
      </c>
      <c r="D316" s="9" t="s">
        <v>150</v>
      </c>
      <c r="E316" s="9" t="s">
        <v>183</v>
      </c>
      <c r="F316" s="9" t="s">
        <v>130</v>
      </c>
      <c r="G316" s="9" t="s">
        <v>507</v>
      </c>
      <c r="H316" s="9" t="s">
        <v>140</v>
      </c>
      <c r="I316" s="10"/>
      <c r="J316" s="10"/>
      <c r="K316" s="10"/>
      <c r="L316" s="10"/>
      <c r="M316" s="10"/>
      <c r="N316" s="10"/>
    </row>
    <row r="317" customFormat="false" ht="23.85" hidden="false" customHeight="false" outlineLevel="0" collapsed="false">
      <c r="A317" s="9" t="s">
        <v>807</v>
      </c>
      <c r="B317" s="9" t="s">
        <v>327</v>
      </c>
      <c r="C317" s="9" t="s">
        <v>808</v>
      </c>
      <c r="D317" s="9" t="s">
        <v>150</v>
      </c>
      <c r="E317" s="9" t="s">
        <v>129</v>
      </c>
      <c r="F317" s="9" t="s">
        <v>144</v>
      </c>
      <c r="G317" s="9" t="s">
        <v>507</v>
      </c>
      <c r="H317" s="9" t="s">
        <v>274</v>
      </c>
      <c r="I317" s="10"/>
      <c r="J317" s="10"/>
      <c r="K317" s="10"/>
      <c r="L317" s="10"/>
      <c r="M317" s="10"/>
      <c r="N317" s="10"/>
    </row>
    <row r="318" customFormat="false" ht="23.85" hidden="false" customHeight="false" outlineLevel="0" collapsed="false">
      <c r="A318" s="9" t="s">
        <v>809</v>
      </c>
      <c r="B318" s="9" t="s">
        <v>327</v>
      </c>
      <c r="C318" s="9" t="s">
        <v>810</v>
      </c>
      <c r="D318" s="9" t="s">
        <v>150</v>
      </c>
      <c r="E318" s="9" t="s">
        <v>129</v>
      </c>
      <c r="F318" s="9" t="s">
        <v>144</v>
      </c>
      <c r="G318" s="9" t="s">
        <v>507</v>
      </c>
      <c r="H318" s="9" t="s">
        <v>274</v>
      </c>
      <c r="I318" s="10"/>
      <c r="J318" s="10"/>
      <c r="K318" s="10"/>
      <c r="L318" s="10"/>
      <c r="M318" s="10"/>
      <c r="N318" s="10"/>
    </row>
    <row r="319" customFormat="false" ht="23.85" hidden="false" customHeight="false" outlineLevel="0" collapsed="false">
      <c r="A319" s="9" t="s">
        <v>811</v>
      </c>
      <c r="B319" s="9" t="s">
        <v>327</v>
      </c>
      <c r="C319" s="9" t="s">
        <v>812</v>
      </c>
      <c r="D319" s="9" t="s">
        <v>150</v>
      </c>
      <c r="E319" s="9" t="s">
        <v>129</v>
      </c>
      <c r="F319" s="9" t="s">
        <v>151</v>
      </c>
      <c r="G319" s="9" t="s">
        <v>507</v>
      </c>
      <c r="H319" s="9" t="s">
        <v>274</v>
      </c>
      <c r="I319" s="10"/>
      <c r="J319" s="10"/>
      <c r="K319" s="10"/>
      <c r="L319" s="10"/>
      <c r="M319" s="10"/>
      <c r="N319" s="10"/>
    </row>
    <row r="320" customFormat="false" ht="23.85" hidden="false" customHeight="false" outlineLevel="0" collapsed="false">
      <c r="A320" s="9" t="s">
        <v>813</v>
      </c>
      <c r="B320" s="9" t="s">
        <v>327</v>
      </c>
      <c r="C320" s="9" t="s">
        <v>814</v>
      </c>
      <c r="D320" s="9" t="s">
        <v>150</v>
      </c>
      <c r="E320" s="9" t="s">
        <v>129</v>
      </c>
      <c r="F320" s="9" t="s">
        <v>144</v>
      </c>
      <c r="G320" s="9" t="s">
        <v>507</v>
      </c>
      <c r="H320" s="9" t="s">
        <v>274</v>
      </c>
      <c r="I320" s="10"/>
      <c r="J320" s="10"/>
      <c r="K320" s="10"/>
      <c r="L320" s="10"/>
      <c r="M320" s="10"/>
      <c r="N320" s="10"/>
    </row>
    <row r="321" customFormat="false" ht="23.85" hidden="false" customHeight="false" outlineLevel="0" collapsed="false">
      <c r="A321" s="9" t="s">
        <v>815</v>
      </c>
      <c r="B321" s="9" t="s">
        <v>327</v>
      </c>
      <c r="C321" s="9" t="s">
        <v>816</v>
      </c>
      <c r="D321" s="9" t="s">
        <v>150</v>
      </c>
      <c r="E321" s="9" t="s">
        <v>129</v>
      </c>
      <c r="F321" s="9" t="s">
        <v>144</v>
      </c>
      <c r="G321" s="9" t="s">
        <v>507</v>
      </c>
      <c r="H321" s="9" t="s">
        <v>274</v>
      </c>
      <c r="I321" s="10"/>
      <c r="J321" s="10"/>
      <c r="K321" s="10"/>
      <c r="L321" s="10"/>
      <c r="M321" s="10"/>
      <c r="N321" s="10"/>
    </row>
    <row r="322" customFormat="false" ht="23.85" hidden="false" customHeight="false" outlineLevel="0" collapsed="false">
      <c r="A322" s="9" t="s">
        <v>817</v>
      </c>
      <c r="B322" s="9" t="s">
        <v>327</v>
      </c>
      <c r="C322" s="9" t="s">
        <v>818</v>
      </c>
      <c r="D322" s="9" t="s">
        <v>150</v>
      </c>
      <c r="E322" s="9" t="s">
        <v>129</v>
      </c>
      <c r="F322" s="9" t="s">
        <v>130</v>
      </c>
      <c r="G322" s="9" t="s">
        <v>507</v>
      </c>
      <c r="H322" s="9" t="s">
        <v>140</v>
      </c>
      <c r="I322" s="10"/>
      <c r="J322" s="10"/>
      <c r="K322" s="10"/>
      <c r="L322" s="10"/>
      <c r="M322" s="10"/>
      <c r="N322" s="10"/>
    </row>
    <row r="323" customFormat="false" ht="23.85" hidden="false" customHeight="false" outlineLevel="0" collapsed="false">
      <c r="A323" s="9" t="s">
        <v>819</v>
      </c>
      <c r="B323" s="9" t="s">
        <v>327</v>
      </c>
      <c r="C323" s="9" t="s">
        <v>820</v>
      </c>
      <c r="D323" s="9" t="s">
        <v>510</v>
      </c>
      <c r="E323" s="9" t="s">
        <v>226</v>
      </c>
      <c r="F323" s="9" t="s">
        <v>144</v>
      </c>
      <c r="G323" s="9" t="s">
        <v>507</v>
      </c>
      <c r="H323" s="9" t="s">
        <v>274</v>
      </c>
      <c r="I323" s="10"/>
      <c r="J323" s="10"/>
      <c r="K323" s="10"/>
      <c r="L323" s="10"/>
      <c r="M323" s="10"/>
      <c r="N323" s="10"/>
    </row>
    <row r="324" customFormat="false" ht="23.85" hidden="false" customHeight="false" outlineLevel="0" collapsed="false">
      <c r="A324" s="9" t="s">
        <v>821</v>
      </c>
      <c r="B324" s="9" t="s">
        <v>327</v>
      </c>
      <c r="C324" s="9" t="s">
        <v>822</v>
      </c>
      <c r="D324" s="9" t="s">
        <v>510</v>
      </c>
      <c r="E324" s="9" t="s">
        <v>129</v>
      </c>
      <c r="F324" s="9" t="s">
        <v>144</v>
      </c>
      <c r="G324" s="9" t="s">
        <v>507</v>
      </c>
      <c r="H324" s="9" t="s">
        <v>274</v>
      </c>
      <c r="I324" s="10"/>
      <c r="J324" s="10"/>
      <c r="K324" s="10"/>
      <c r="L324" s="10"/>
      <c r="M324" s="10"/>
      <c r="N324" s="10"/>
    </row>
    <row r="325" customFormat="false" ht="23.85" hidden="false" customHeight="false" outlineLevel="0" collapsed="false">
      <c r="A325" s="9" t="s">
        <v>823</v>
      </c>
      <c r="B325" s="9" t="s">
        <v>340</v>
      </c>
      <c r="C325" s="9" t="s">
        <v>824</v>
      </c>
      <c r="D325" s="9" t="s">
        <v>150</v>
      </c>
      <c r="E325" s="9" t="s">
        <v>129</v>
      </c>
      <c r="F325" s="9" t="s">
        <v>144</v>
      </c>
      <c r="G325" s="9" t="s">
        <v>507</v>
      </c>
      <c r="H325" s="9" t="s">
        <v>274</v>
      </c>
      <c r="I325" s="10"/>
      <c r="J325" s="10"/>
      <c r="K325" s="10"/>
      <c r="L325" s="10"/>
      <c r="M325" s="10"/>
      <c r="N325" s="10"/>
    </row>
    <row r="326" customFormat="false" ht="23.85" hidden="false" customHeight="false" outlineLevel="0" collapsed="false">
      <c r="A326" s="9" t="s">
        <v>825</v>
      </c>
      <c r="B326" s="9" t="s">
        <v>340</v>
      </c>
      <c r="C326" s="9" t="s">
        <v>826</v>
      </c>
      <c r="D326" s="9" t="s">
        <v>150</v>
      </c>
      <c r="E326" s="9" t="s">
        <v>129</v>
      </c>
      <c r="F326" s="9" t="s">
        <v>151</v>
      </c>
      <c r="G326" s="9" t="s">
        <v>507</v>
      </c>
      <c r="H326" s="9" t="s">
        <v>274</v>
      </c>
      <c r="I326" s="10"/>
      <c r="J326" s="10"/>
      <c r="K326" s="10"/>
      <c r="L326" s="10"/>
      <c r="M326" s="10"/>
      <c r="N326" s="10"/>
    </row>
    <row r="327" customFormat="false" ht="23.85" hidden="false" customHeight="false" outlineLevel="0" collapsed="false">
      <c r="A327" s="9" t="s">
        <v>827</v>
      </c>
      <c r="B327" s="9" t="s">
        <v>340</v>
      </c>
      <c r="C327" s="9" t="s">
        <v>828</v>
      </c>
      <c r="D327" s="9" t="s">
        <v>150</v>
      </c>
      <c r="E327" s="9" t="s">
        <v>143</v>
      </c>
      <c r="F327" s="9" t="s">
        <v>130</v>
      </c>
      <c r="G327" s="9" t="s">
        <v>507</v>
      </c>
      <c r="H327" s="9" t="s">
        <v>140</v>
      </c>
      <c r="I327" s="10"/>
      <c r="J327" s="10"/>
      <c r="K327" s="10"/>
      <c r="L327" s="10"/>
      <c r="M327" s="10"/>
      <c r="N327" s="10"/>
    </row>
    <row r="328" customFormat="false" ht="23.85" hidden="false" customHeight="false" outlineLevel="0" collapsed="false">
      <c r="A328" s="9" t="s">
        <v>829</v>
      </c>
      <c r="B328" s="9" t="s">
        <v>340</v>
      </c>
      <c r="C328" s="9" t="s">
        <v>830</v>
      </c>
      <c r="D328" s="9" t="s">
        <v>150</v>
      </c>
      <c r="E328" s="9" t="s">
        <v>129</v>
      </c>
      <c r="F328" s="9" t="s">
        <v>144</v>
      </c>
      <c r="G328" s="9" t="s">
        <v>507</v>
      </c>
      <c r="H328" s="9" t="s">
        <v>274</v>
      </c>
      <c r="I328" s="10"/>
      <c r="J328" s="10"/>
      <c r="K328" s="10"/>
      <c r="L328" s="10"/>
      <c r="M328" s="10"/>
      <c r="N328" s="10"/>
    </row>
    <row r="329" customFormat="false" ht="23.85" hidden="false" customHeight="false" outlineLevel="0" collapsed="false">
      <c r="A329" s="9" t="s">
        <v>831</v>
      </c>
      <c r="B329" s="9" t="s">
        <v>340</v>
      </c>
      <c r="C329" s="9" t="s">
        <v>832</v>
      </c>
      <c r="D329" s="9" t="s">
        <v>150</v>
      </c>
      <c r="E329" s="9" t="s">
        <v>129</v>
      </c>
      <c r="F329" s="9" t="s">
        <v>151</v>
      </c>
      <c r="G329" s="9" t="s">
        <v>507</v>
      </c>
      <c r="H329" s="9" t="s">
        <v>274</v>
      </c>
      <c r="I329" s="10"/>
      <c r="J329" s="10"/>
      <c r="K329" s="10"/>
      <c r="L329" s="10"/>
      <c r="M329" s="10"/>
      <c r="N329" s="10"/>
    </row>
    <row r="330" customFormat="false" ht="23.85" hidden="false" customHeight="false" outlineLevel="0" collapsed="false">
      <c r="A330" s="9" t="s">
        <v>833</v>
      </c>
      <c r="B330" s="9" t="s">
        <v>340</v>
      </c>
      <c r="C330" s="9" t="s">
        <v>834</v>
      </c>
      <c r="D330" s="9" t="s">
        <v>510</v>
      </c>
      <c r="E330" s="9" t="s">
        <v>129</v>
      </c>
      <c r="F330" s="9" t="s">
        <v>144</v>
      </c>
      <c r="G330" s="9" t="s">
        <v>507</v>
      </c>
      <c r="H330" s="9" t="s">
        <v>274</v>
      </c>
      <c r="I330" s="10"/>
      <c r="J330" s="10"/>
      <c r="K330" s="10"/>
      <c r="L330" s="10"/>
      <c r="M330" s="10"/>
      <c r="N330" s="10"/>
    </row>
    <row r="331" customFormat="false" ht="23.85" hidden="false" customHeight="false" outlineLevel="0" collapsed="false">
      <c r="A331" s="9" t="s">
        <v>835</v>
      </c>
      <c r="B331" s="9" t="s">
        <v>340</v>
      </c>
      <c r="C331" s="9" t="s">
        <v>836</v>
      </c>
      <c r="D331" s="9" t="s">
        <v>150</v>
      </c>
      <c r="E331" s="9" t="s">
        <v>129</v>
      </c>
      <c r="F331" s="9" t="s">
        <v>151</v>
      </c>
      <c r="G331" s="9" t="s">
        <v>507</v>
      </c>
      <c r="H331" s="9" t="s">
        <v>274</v>
      </c>
      <c r="I331" s="10"/>
      <c r="J331" s="10"/>
      <c r="K331" s="10"/>
      <c r="L331" s="10"/>
      <c r="M331" s="10"/>
      <c r="N331" s="10"/>
    </row>
    <row r="332" customFormat="false" ht="23.85" hidden="false" customHeight="false" outlineLevel="0" collapsed="false">
      <c r="A332" s="9" t="s">
        <v>837</v>
      </c>
      <c r="B332" s="9" t="s">
        <v>340</v>
      </c>
      <c r="C332" s="9" t="s">
        <v>838</v>
      </c>
      <c r="D332" s="9" t="s">
        <v>510</v>
      </c>
      <c r="E332" s="9" t="s">
        <v>129</v>
      </c>
      <c r="F332" s="9" t="s">
        <v>144</v>
      </c>
      <c r="G332" s="9" t="s">
        <v>507</v>
      </c>
      <c r="H332" s="9" t="s">
        <v>274</v>
      </c>
      <c r="I332" s="10"/>
      <c r="J332" s="10"/>
      <c r="K332" s="10"/>
      <c r="L332" s="10"/>
      <c r="M332" s="10"/>
      <c r="N332" s="10"/>
    </row>
    <row r="333" customFormat="false" ht="23.85" hidden="false" customHeight="false" outlineLevel="0" collapsed="false">
      <c r="A333" s="9" t="s">
        <v>839</v>
      </c>
      <c r="B333" s="9" t="s">
        <v>340</v>
      </c>
      <c r="C333" s="9" t="s">
        <v>840</v>
      </c>
      <c r="D333" s="9" t="s">
        <v>150</v>
      </c>
      <c r="E333" s="9" t="s">
        <v>129</v>
      </c>
      <c r="F333" s="9" t="s">
        <v>144</v>
      </c>
      <c r="G333" s="9" t="s">
        <v>507</v>
      </c>
      <c r="H333" s="9" t="s">
        <v>274</v>
      </c>
      <c r="I333" s="10"/>
      <c r="J333" s="10"/>
      <c r="K333" s="10"/>
      <c r="L333" s="10"/>
      <c r="M333" s="10"/>
      <c r="N333" s="10"/>
    </row>
    <row r="334" customFormat="false" ht="23.85" hidden="false" customHeight="false" outlineLevel="0" collapsed="false">
      <c r="A334" s="9" t="s">
        <v>841</v>
      </c>
      <c r="B334" s="9" t="s">
        <v>340</v>
      </c>
      <c r="C334" s="9" t="s">
        <v>492</v>
      </c>
      <c r="D334" s="9" t="s">
        <v>150</v>
      </c>
      <c r="E334" s="9" t="s">
        <v>143</v>
      </c>
      <c r="F334" s="9" t="s">
        <v>151</v>
      </c>
      <c r="G334" s="9" t="s">
        <v>507</v>
      </c>
      <c r="H334" s="9" t="s">
        <v>274</v>
      </c>
      <c r="I334" s="10"/>
      <c r="J334" s="10"/>
      <c r="K334" s="10"/>
      <c r="L334" s="10"/>
      <c r="M334" s="10"/>
      <c r="N334" s="10"/>
    </row>
    <row r="335" customFormat="false" ht="23.85" hidden="false" customHeight="false" outlineLevel="0" collapsed="false">
      <c r="A335" s="9" t="s">
        <v>842</v>
      </c>
      <c r="B335" s="9" t="s">
        <v>345</v>
      </c>
      <c r="C335" s="9" t="s">
        <v>843</v>
      </c>
      <c r="D335" s="9" t="s">
        <v>150</v>
      </c>
      <c r="E335" s="9" t="s">
        <v>129</v>
      </c>
      <c r="F335" s="9" t="s">
        <v>144</v>
      </c>
      <c r="G335" s="9" t="s">
        <v>507</v>
      </c>
      <c r="H335" s="9" t="s">
        <v>274</v>
      </c>
      <c r="I335" s="10"/>
      <c r="J335" s="10"/>
      <c r="K335" s="10"/>
      <c r="L335" s="10"/>
      <c r="M335" s="10"/>
      <c r="N335" s="10"/>
    </row>
    <row r="336" customFormat="false" ht="23.85" hidden="false" customHeight="false" outlineLevel="0" collapsed="false">
      <c r="A336" s="9" t="s">
        <v>844</v>
      </c>
      <c r="B336" s="9" t="s">
        <v>345</v>
      </c>
      <c r="C336" s="9" t="s">
        <v>845</v>
      </c>
      <c r="D336" s="9" t="s">
        <v>150</v>
      </c>
      <c r="E336" s="9" t="s">
        <v>129</v>
      </c>
      <c r="F336" s="9" t="s">
        <v>144</v>
      </c>
      <c r="G336" s="9" t="s">
        <v>507</v>
      </c>
      <c r="H336" s="9" t="s">
        <v>274</v>
      </c>
      <c r="I336" s="10"/>
      <c r="J336" s="10"/>
      <c r="K336" s="10"/>
      <c r="L336" s="10"/>
      <c r="M336" s="10"/>
      <c r="N336" s="10"/>
    </row>
    <row r="337" customFormat="false" ht="23.85" hidden="false" customHeight="false" outlineLevel="0" collapsed="false">
      <c r="A337" s="9" t="s">
        <v>846</v>
      </c>
      <c r="B337" s="9" t="s">
        <v>345</v>
      </c>
      <c r="C337" s="9" t="s">
        <v>847</v>
      </c>
      <c r="D337" s="9" t="s">
        <v>150</v>
      </c>
      <c r="E337" s="9" t="s">
        <v>129</v>
      </c>
      <c r="F337" s="9" t="s">
        <v>144</v>
      </c>
      <c r="G337" s="9" t="s">
        <v>507</v>
      </c>
      <c r="H337" s="9" t="s">
        <v>274</v>
      </c>
      <c r="I337" s="10"/>
      <c r="J337" s="10"/>
      <c r="K337" s="10"/>
      <c r="L337" s="10"/>
      <c r="M337" s="10"/>
      <c r="N337" s="10"/>
    </row>
    <row r="338" customFormat="false" ht="23.85" hidden="false" customHeight="false" outlineLevel="0" collapsed="false">
      <c r="A338" s="9" t="s">
        <v>848</v>
      </c>
      <c r="B338" s="9" t="s">
        <v>345</v>
      </c>
      <c r="C338" s="9" t="s">
        <v>849</v>
      </c>
      <c r="D338" s="9" t="s">
        <v>150</v>
      </c>
      <c r="E338" s="9" t="s">
        <v>129</v>
      </c>
      <c r="F338" s="9" t="s">
        <v>144</v>
      </c>
      <c r="G338" s="9" t="s">
        <v>507</v>
      </c>
      <c r="H338" s="9" t="s">
        <v>274</v>
      </c>
      <c r="I338" s="10"/>
      <c r="J338" s="10"/>
      <c r="K338" s="10"/>
      <c r="L338" s="10"/>
      <c r="M338" s="10"/>
      <c r="N338" s="10"/>
    </row>
    <row r="339" customFormat="false" ht="23.85" hidden="false" customHeight="false" outlineLevel="0" collapsed="false">
      <c r="A339" s="9" t="s">
        <v>850</v>
      </c>
      <c r="B339" s="9" t="s">
        <v>345</v>
      </c>
      <c r="C339" s="9" t="s">
        <v>851</v>
      </c>
      <c r="D339" s="9" t="s">
        <v>510</v>
      </c>
      <c r="E339" s="9" t="s">
        <v>226</v>
      </c>
      <c r="F339" s="9" t="s">
        <v>144</v>
      </c>
      <c r="G339" s="9" t="s">
        <v>507</v>
      </c>
      <c r="H339" s="9" t="s">
        <v>274</v>
      </c>
      <c r="I339" s="10"/>
      <c r="J339" s="10"/>
      <c r="K339" s="10"/>
      <c r="L339" s="10"/>
      <c r="M339" s="10"/>
      <c r="N339" s="10"/>
    </row>
    <row r="340" customFormat="false" ht="23.85" hidden="false" customHeight="false" outlineLevel="0" collapsed="false">
      <c r="A340" s="9" t="s">
        <v>852</v>
      </c>
      <c r="B340" s="9" t="s">
        <v>345</v>
      </c>
      <c r="C340" s="9" t="s">
        <v>853</v>
      </c>
      <c r="D340" s="9" t="s">
        <v>150</v>
      </c>
      <c r="E340" s="9" t="s">
        <v>226</v>
      </c>
      <c r="F340" s="9" t="s">
        <v>144</v>
      </c>
      <c r="G340" s="9" t="s">
        <v>507</v>
      </c>
      <c r="H340" s="9" t="s">
        <v>274</v>
      </c>
      <c r="I340" s="10"/>
      <c r="J340" s="10"/>
      <c r="K340" s="10"/>
      <c r="L340" s="10"/>
      <c r="M340" s="10"/>
      <c r="N340" s="10"/>
    </row>
    <row r="341" customFormat="false" ht="23.85" hidden="false" customHeight="false" outlineLevel="0" collapsed="false">
      <c r="A341" s="9" t="s">
        <v>854</v>
      </c>
      <c r="B341" s="9" t="s">
        <v>348</v>
      </c>
      <c r="C341" s="9" t="s">
        <v>855</v>
      </c>
      <c r="D341" s="9" t="s">
        <v>150</v>
      </c>
      <c r="E341" s="9" t="s">
        <v>226</v>
      </c>
      <c r="F341" s="9" t="s">
        <v>144</v>
      </c>
      <c r="G341" s="9" t="s">
        <v>507</v>
      </c>
      <c r="H341" s="9" t="s">
        <v>274</v>
      </c>
      <c r="I341" s="10"/>
      <c r="J341" s="10"/>
      <c r="K341" s="10"/>
      <c r="L341" s="10"/>
      <c r="M341" s="10"/>
      <c r="N341" s="10"/>
    </row>
    <row r="342" customFormat="false" ht="23.85" hidden="false" customHeight="false" outlineLevel="0" collapsed="false">
      <c r="A342" s="9" t="s">
        <v>856</v>
      </c>
      <c r="B342" s="9" t="s">
        <v>348</v>
      </c>
      <c r="C342" s="9" t="s">
        <v>857</v>
      </c>
      <c r="D342" s="9" t="s">
        <v>510</v>
      </c>
      <c r="E342" s="9" t="s">
        <v>226</v>
      </c>
      <c r="F342" s="9" t="s">
        <v>144</v>
      </c>
      <c r="G342" s="9" t="s">
        <v>507</v>
      </c>
      <c r="H342" s="9" t="s">
        <v>274</v>
      </c>
      <c r="I342" s="10"/>
      <c r="J342" s="10"/>
      <c r="K342" s="10"/>
      <c r="L342" s="10"/>
      <c r="M342" s="10"/>
      <c r="N342" s="10"/>
    </row>
    <row r="343" customFormat="false" ht="23.85" hidden="false" customHeight="false" outlineLevel="0" collapsed="false">
      <c r="A343" s="9" t="s">
        <v>858</v>
      </c>
      <c r="B343" s="9" t="s">
        <v>348</v>
      </c>
      <c r="C343" s="9" t="s">
        <v>859</v>
      </c>
      <c r="D343" s="9" t="s">
        <v>510</v>
      </c>
      <c r="E343" s="9" t="s">
        <v>226</v>
      </c>
      <c r="F343" s="9" t="s">
        <v>144</v>
      </c>
      <c r="G343" s="9" t="s">
        <v>507</v>
      </c>
      <c r="H343" s="9" t="s">
        <v>274</v>
      </c>
      <c r="I343" s="10"/>
      <c r="J343" s="10"/>
      <c r="K343" s="10"/>
      <c r="L343" s="10"/>
      <c r="M343" s="10"/>
      <c r="N343" s="10"/>
    </row>
    <row r="344" customFormat="false" ht="23.85" hidden="false" customHeight="false" outlineLevel="0" collapsed="false">
      <c r="A344" s="9" t="s">
        <v>860</v>
      </c>
      <c r="B344" s="9" t="s">
        <v>348</v>
      </c>
      <c r="C344" s="9" t="s">
        <v>861</v>
      </c>
      <c r="D344" s="9" t="s">
        <v>150</v>
      </c>
      <c r="E344" s="9" t="s">
        <v>129</v>
      </c>
      <c r="F344" s="9" t="s">
        <v>144</v>
      </c>
      <c r="G344" s="9" t="s">
        <v>507</v>
      </c>
      <c r="H344" s="9" t="s">
        <v>274</v>
      </c>
      <c r="I344" s="10"/>
      <c r="J344" s="10"/>
      <c r="K344" s="10"/>
      <c r="L344" s="10"/>
      <c r="M344" s="10"/>
      <c r="N344" s="10"/>
    </row>
    <row r="345" customFormat="false" ht="23.85" hidden="false" customHeight="false" outlineLevel="0" collapsed="false">
      <c r="A345" s="9" t="s">
        <v>862</v>
      </c>
      <c r="B345" s="9" t="s">
        <v>348</v>
      </c>
      <c r="C345" s="9" t="s">
        <v>863</v>
      </c>
      <c r="D345" s="9" t="s">
        <v>150</v>
      </c>
      <c r="E345" s="9" t="s">
        <v>129</v>
      </c>
      <c r="F345" s="9" t="s">
        <v>144</v>
      </c>
      <c r="G345" s="9" t="s">
        <v>507</v>
      </c>
      <c r="H345" s="9" t="s">
        <v>274</v>
      </c>
      <c r="I345" s="10"/>
      <c r="J345" s="10"/>
      <c r="K345" s="10"/>
      <c r="L345" s="10"/>
      <c r="M345" s="10"/>
      <c r="N345" s="10"/>
    </row>
    <row r="346" customFormat="false" ht="23.85" hidden="false" customHeight="false" outlineLevel="0" collapsed="false">
      <c r="A346" s="9" t="s">
        <v>864</v>
      </c>
      <c r="B346" s="9" t="s">
        <v>348</v>
      </c>
      <c r="C346" s="9" t="s">
        <v>865</v>
      </c>
      <c r="D346" s="9" t="s">
        <v>150</v>
      </c>
      <c r="E346" s="9" t="s">
        <v>129</v>
      </c>
      <c r="F346" s="9" t="s">
        <v>144</v>
      </c>
      <c r="G346" s="9" t="s">
        <v>507</v>
      </c>
      <c r="H346" s="9" t="s">
        <v>274</v>
      </c>
      <c r="I346" s="10"/>
      <c r="J346" s="10"/>
      <c r="K346" s="10"/>
      <c r="L346" s="10"/>
      <c r="M346" s="10"/>
      <c r="N346" s="10"/>
    </row>
    <row r="347" customFormat="false" ht="23.85" hidden="false" customHeight="false" outlineLevel="0" collapsed="false">
      <c r="A347" s="9" t="s">
        <v>866</v>
      </c>
      <c r="B347" s="9" t="s">
        <v>348</v>
      </c>
      <c r="C347" s="9" t="s">
        <v>867</v>
      </c>
      <c r="D347" s="9" t="s">
        <v>150</v>
      </c>
      <c r="E347" s="9" t="s">
        <v>129</v>
      </c>
      <c r="F347" s="9" t="s">
        <v>151</v>
      </c>
      <c r="G347" s="9" t="s">
        <v>507</v>
      </c>
      <c r="H347" s="9" t="s">
        <v>274</v>
      </c>
      <c r="I347" s="10"/>
      <c r="J347" s="10"/>
      <c r="K347" s="10"/>
      <c r="L347" s="10"/>
      <c r="M347" s="10"/>
      <c r="N347" s="10"/>
    </row>
    <row r="348" customFormat="false" ht="23.85" hidden="false" customHeight="false" outlineLevel="0" collapsed="false">
      <c r="A348" s="9" t="s">
        <v>868</v>
      </c>
      <c r="B348" s="9" t="s">
        <v>348</v>
      </c>
      <c r="C348" s="9" t="s">
        <v>686</v>
      </c>
      <c r="D348" s="9" t="s">
        <v>150</v>
      </c>
      <c r="E348" s="9" t="s">
        <v>129</v>
      </c>
      <c r="F348" s="9" t="s">
        <v>144</v>
      </c>
      <c r="G348" s="9" t="s">
        <v>507</v>
      </c>
      <c r="H348" s="9" t="s">
        <v>274</v>
      </c>
      <c r="I348" s="10"/>
      <c r="J348" s="10"/>
      <c r="K348" s="10"/>
      <c r="L348" s="10"/>
      <c r="M348" s="10"/>
      <c r="N348" s="10"/>
    </row>
    <row r="349" customFormat="false" ht="23.85" hidden="false" customHeight="false" outlineLevel="0" collapsed="false">
      <c r="A349" s="9" t="s">
        <v>869</v>
      </c>
      <c r="B349" s="9" t="s">
        <v>348</v>
      </c>
      <c r="C349" s="9" t="s">
        <v>870</v>
      </c>
      <c r="D349" s="9" t="s">
        <v>150</v>
      </c>
      <c r="E349" s="9" t="s">
        <v>129</v>
      </c>
      <c r="F349" s="9" t="s">
        <v>144</v>
      </c>
      <c r="G349" s="9" t="s">
        <v>507</v>
      </c>
      <c r="H349" s="9" t="s">
        <v>274</v>
      </c>
      <c r="I349" s="10"/>
      <c r="J349" s="10"/>
      <c r="K349" s="10"/>
      <c r="L349" s="10"/>
      <c r="M349" s="10"/>
      <c r="N349" s="10"/>
    </row>
    <row r="350" customFormat="false" ht="23.85" hidden="false" customHeight="false" outlineLevel="0" collapsed="false">
      <c r="A350" s="9" t="s">
        <v>871</v>
      </c>
      <c r="B350" s="9" t="s">
        <v>348</v>
      </c>
      <c r="C350" s="9" t="s">
        <v>872</v>
      </c>
      <c r="D350" s="9" t="s">
        <v>510</v>
      </c>
      <c r="E350" s="9" t="s">
        <v>226</v>
      </c>
      <c r="F350" s="9" t="s">
        <v>144</v>
      </c>
      <c r="G350" s="9" t="s">
        <v>507</v>
      </c>
      <c r="H350" s="9" t="s">
        <v>274</v>
      </c>
      <c r="I350" s="10"/>
      <c r="J350" s="10"/>
      <c r="K350" s="10"/>
      <c r="L350" s="10"/>
      <c r="M350" s="10"/>
      <c r="N350" s="10"/>
    </row>
    <row r="351" customFormat="false" ht="23.85" hidden="false" customHeight="false" outlineLevel="0" collapsed="false">
      <c r="A351" s="9" t="s">
        <v>873</v>
      </c>
      <c r="B351" s="9" t="s">
        <v>348</v>
      </c>
      <c r="C351" s="9" t="s">
        <v>874</v>
      </c>
      <c r="D351" s="9" t="s">
        <v>510</v>
      </c>
      <c r="E351" s="9" t="s">
        <v>249</v>
      </c>
      <c r="F351" s="9" t="s">
        <v>130</v>
      </c>
      <c r="G351" s="9" t="s">
        <v>507</v>
      </c>
      <c r="H351" s="9" t="s">
        <v>140</v>
      </c>
      <c r="I351" s="10"/>
      <c r="J351" s="10"/>
      <c r="K351" s="10"/>
      <c r="L351" s="10"/>
      <c r="M351" s="10"/>
      <c r="N351" s="10"/>
    </row>
    <row r="352" customFormat="false" ht="23.85" hidden="false" customHeight="false" outlineLevel="0" collapsed="false">
      <c r="A352" s="9" t="s">
        <v>875</v>
      </c>
      <c r="B352" s="9" t="s">
        <v>351</v>
      </c>
      <c r="C352" s="9" t="s">
        <v>702</v>
      </c>
      <c r="D352" s="9" t="s">
        <v>150</v>
      </c>
      <c r="E352" s="9" t="s">
        <v>226</v>
      </c>
      <c r="F352" s="9" t="s">
        <v>144</v>
      </c>
      <c r="G352" s="9" t="s">
        <v>507</v>
      </c>
      <c r="H352" s="9" t="s">
        <v>274</v>
      </c>
      <c r="I352" s="10"/>
      <c r="J352" s="10"/>
      <c r="K352" s="10"/>
      <c r="L352" s="10"/>
      <c r="M352" s="10"/>
      <c r="N352" s="10"/>
    </row>
    <row r="353" customFormat="false" ht="23.85" hidden="false" customHeight="false" outlineLevel="0" collapsed="false">
      <c r="A353" s="9" t="s">
        <v>876</v>
      </c>
      <c r="B353" s="9" t="s">
        <v>351</v>
      </c>
      <c r="C353" s="9" t="s">
        <v>877</v>
      </c>
      <c r="D353" s="9" t="s">
        <v>150</v>
      </c>
      <c r="E353" s="9" t="s">
        <v>143</v>
      </c>
      <c r="F353" s="9" t="s">
        <v>144</v>
      </c>
      <c r="G353" s="9" t="s">
        <v>507</v>
      </c>
      <c r="H353" s="9" t="s">
        <v>274</v>
      </c>
      <c r="I353" s="10"/>
      <c r="J353" s="10"/>
      <c r="K353" s="10"/>
      <c r="L353" s="10"/>
      <c r="M353" s="10"/>
      <c r="N353" s="10"/>
    </row>
    <row r="354" customFormat="false" ht="23.85" hidden="false" customHeight="false" outlineLevel="0" collapsed="false">
      <c r="A354" s="9" t="s">
        <v>878</v>
      </c>
      <c r="B354" s="9" t="s">
        <v>351</v>
      </c>
      <c r="C354" s="9" t="s">
        <v>879</v>
      </c>
      <c r="D354" s="9" t="s">
        <v>150</v>
      </c>
      <c r="E354" s="9" t="s">
        <v>129</v>
      </c>
      <c r="F354" s="9" t="s">
        <v>130</v>
      </c>
      <c r="G354" s="9" t="s">
        <v>507</v>
      </c>
      <c r="H354" s="9" t="s">
        <v>140</v>
      </c>
      <c r="I354" s="10"/>
      <c r="J354" s="10"/>
      <c r="K354" s="10"/>
      <c r="L354" s="10"/>
      <c r="M354" s="10"/>
      <c r="N354" s="10"/>
    </row>
    <row r="355" customFormat="false" ht="23.85" hidden="false" customHeight="false" outlineLevel="0" collapsed="false">
      <c r="A355" s="9" t="s">
        <v>880</v>
      </c>
      <c r="B355" s="9" t="s">
        <v>351</v>
      </c>
      <c r="C355" s="9" t="s">
        <v>742</v>
      </c>
      <c r="D355" s="9" t="s">
        <v>150</v>
      </c>
      <c r="E355" s="9" t="s">
        <v>129</v>
      </c>
      <c r="F355" s="9" t="s">
        <v>144</v>
      </c>
      <c r="G355" s="9" t="s">
        <v>507</v>
      </c>
      <c r="H355" s="9" t="s">
        <v>274</v>
      </c>
      <c r="I355" s="10"/>
      <c r="J355" s="10"/>
      <c r="K355" s="10"/>
      <c r="L355" s="10"/>
      <c r="M355" s="10"/>
      <c r="N355" s="10"/>
    </row>
    <row r="356" customFormat="false" ht="23.85" hidden="false" customHeight="false" outlineLevel="0" collapsed="false">
      <c r="A356" s="9" t="s">
        <v>881</v>
      </c>
      <c r="B356" s="9" t="s">
        <v>351</v>
      </c>
      <c r="C356" s="9" t="s">
        <v>882</v>
      </c>
      <c r="D356" s="9" t="s">
        <v>150</v>
      </c>
      <c r="E356" s="9" t="s">
        <v>129</v>
      </c>
      <c r="F356" s="9" t="s">
        <v>144</v>
      </c>
      <c r="G356" s="9" t="s">
        <v>507</v>
      </c>
      <c r="H356" s="9" t="s">
        <v>274</v>
      </c>
      <c r="I356" s="10"/>
      <c r="J356" s="10"/>
      <c r="K356" s="10"/>
      <c r="L356" s="10"/>
      <c r="M356" s="10"/>
      <c r="N356" s="10"/>
    </row>
    <row r="357" customFormat="false" ht="23.85" hidden="false" customHeight="false" outlineLevel="0" collapsed="false">
      <c r="A357" s="9" t="s">
        <v>883</v>
      </c>
      <c r="B357" s="9" t="s">
        <v>351</v>
      </c>
      <c r="C357" s="9" t="s">
        <v>884</v>
      </c>
      <c r="D357" s="9" t="s">
        <v>150</v>
      </c>
      <c r="E357" s="9" t="s">
        <v>129</v>
      </c>
      <c r="F357" s="9" t="s">
        <v>154</v>
      </c>
      <c r="G357" s="9" t="s">
        <v>507</v>
      </c>
      <c r="H357" s="9" t="s">
        <v>140</v>
      </c>
      <c r="I357" s="10"/>
      <c r="J357" s="10"/>
      <c r="K357" s="10"/>
      <c r="L357" s="10"/>
      <c r="M357" s="10"/>
      <c r="N357" s="10"/>
    </row>
    <row r="358" customFormat="false" ht="23.85" hidden="false" customHeight="false" outlineLevel="0" collapsed="false">
      <c r="A358" s="9" t="s">
        <v>885</v>
      </c>
      <c r="B358" s="9" t="s">
        <v>356</v>
      </c>
      <c r="C358" s="9" t="s">
        <v>688</v>
      </c>
      <c r="D358" s="9" t="s">
        <v>150</v>
      </c>
      <c r="E358" s="9" t="s">
        <v>129</v>
      </c>
      <c r="F358" s="9" t="s">
        <v>151</v>
      </c>
      <c r="G358" s="9" t="s">
        <v>507</v>
      </c>
      <c r="H358" s="9" t="s">
        <v>274</v>
      </c>
      <c r="I358" s="10"/>
      <c r="J358" s="10"/>
      <c r="K358" s="10"/>
      <c r="L358" s="10"/>
      <c r="M358" s="10"/>
      <c r="N358" s="10"/>
    </row>
    <row r="359" customFormat="false" ht="23.85" hidden="false" customHeight="false" outlineLevel="0" collapsed="false">
      <c r="A359" s="9" t="s">
        <v>886</v>
      </c>
      <c r="B359" s="9" t="s">
        <v>356</v>
      </c>
      <c r="C359" s="9" t="s">
        <v>887</v>
      </c>
      <c r="D359" s="9" t="s">
        <v>510</v>
      </c>
      <c r="E359" s="9" t="s">
        <v>129</v>
      </c>
      <c r="F359" s="9" t="s">
        <v>144</v>
      </c>
      <c r="G359" s="9" t="s">
        <v>507</v>
      </c>
      <c r="H359" s="9" t="s">
        <v>274</v>
      </c>
      <c r="I359" s="10"/>
      <c r="J359" s="10"/>
      <c r="K359" s="10"/>
      <c r="L359" s="10"/>
      <c r="M359" s="10"/>
      <c r="N359" s="10"/>
    </row>
    <row r="360" customFormat="false" ht="23.85" hidden="false" customHeight="false" outlineLevel="0" collapsed="false">
      <c r="A360" s="9" t="s">
        <v>888</v>
      </c>
      <c r="B360" s="9" t="s">
        <v>356</v>
      </c>
      <c r="C360" s="9" t="s">
        <v>889</v>
      </c>
      <c r="D360" s="9" t="s">
        <v>150</v>
      </c>
      <c r="E360" s="9" t="s">
        <v>129</v>
      </c>
      <c r="F360" s="9" t="s">
        <v>130</v>
      </c>
      <c r="G360" s="9" t="s">
        <v>507</v>
      </c>
      <c r="H360" s="9" t="s">
        <v>140</v>
      </c>
      <c r="I360" s="10"/>
      <c r="J360" s="10"/>
      <c r="K360" s="10"/>
      <c r="L360" s="10"/>
      <c r="M360" s="10"/>
      <c r="N360" s="10"/>
    </row>
    <row r="361" customFormat="false" ht="23.85" hidden="false" customHeight="false" outlineLevel="0" collapsed="false">
      <c r="A361" s="9" t="s">
        <v>890</v>
      </c>
      <c r="B361" s="9" t="s">
        <v>356</v>
      </c>
      <c r="C361" s="9" t="s">
        <v>891</v>
      </c>
      <c r="D361" s="9" t="s">
        <v>150</v>
      </c>
      <c r="E361" s="9" t="s">
        <v>143</v>
      </c>
      <c r="F361" s="9" t="s">
        <v>154</v>
      </c>
      <c r="G361" s="9" t="s">
        <v>507</v>
      </c>
      <c r="H361" s="9" t="s">
        <v>140</v>
      </c>
      <c r="I361" s="10"/>
      <c r="J361" s="10"/>
      <c r="K361" s="10"/>
      <c r="L361" s="10"/>
      <c r="M361" s="10"/>
      <c r="N361" s="10"/>
    </row>
    <row r="362" customFormat="false" ht="23.85" hidden="false" customHeight="false" outlineLevel="0" collapsed="false">
      <c r="A362" s="9" t="s">
        <v>892</v>
      </c>
      <c r="B362" s="9" t="s">
        <v>356</v>
      </c>
      <c r="C362" s="9" t="s">
        <v>893</v>
      </c>
      <c r="D362" s="9" t="s">
        <v>150</v>
      </c>
      <c r="E362" s="9" t="s">
        <v>129</v>
      </c>
      <c r="F362" s="9" t="s">
        <v>154</v>
      </c>
      <c r="G362" s="9" t="s">
        <v>507</v>
      </c>
      <c r="H362" s="9" t="s">
        <v>140</v>
      </c>
      <c r="I362" s="10"/>
      <c r="J362" s="10"/>
      <c r="K362" s="10"/>
      <c r="L362" s="10"/>
      <c r="M362" s="10"/>
      <c r="N362" s="10"/>
    </row>
    <row r="363" customFormat="false" ht="23.85" hidden="false" customHeight="false" outlineLevel="0" collapsed="false">
      <c r="A363" s="9" t="s">
        <v>894</v>
      </c>
      <c r="B363" s="9" t="s">
        <v>356</v>
      </c>
      <c r="C363" s="9" t="s">
        <v>895</v>
      </c>
      <c r="D363" s="9" t="s">
        <v>510</v>
      </c>
      <c r="E363" s="9" t="s">
        <v>129</v>
      </c>
      <c r="F363" s="9" t="s">
        <v>151</v>
      </c>
      <c r="G363" s="9" t="s">
        <v>507</v>
      </c>
      <c r="H363" s="9" t="s">
        <v>274</v>
      </c>
      <c r="I363" s="10"/>
      <c r="J363" s="10"/>
      <c r="K363" s="10"/>
      <c r="L363" s="10"/>
      <c r="M363" s="10"/>
      <c r="N363" s="10"/>
    </row>
    <row r="364" customFormat="false" ht="23.85" hidden="false" customHeight="false" outlineLevel="0" collapsed="false">
      <c r="A364" s="9" t="s">
        <v>896</v>
      </c>
      <c r="B364" s="9" t="s">
        <v>356</v>
      </c>
      <c r="C364" s="9" t="s">
        <v>897</v>
      </c>
      <c r="D364" s="9" t="s">
        <v>150</v>
      </c>
      <c r="E364" s="9" t="s">
        <v>143</v>
      </c>
      <c r="F364" s="9" t="s">
        <v>144</v>
      </c>
      <c r="G364" s="9" t="s">
        <v>507</v>
      </c>
      <c r="H364" s="9" t="s">
        <v>274</v>
      </c>
      <c r="I364" s="10"/>
      <c r="J364" s="10"/>
      <c r="K364" s="10"/>
      <c r="L364" s="10"/>
      <c r="M364" s="10"/>
      <c r="N364" s="10"/>
    </row>
    <row r="365" customFormat="false" ht="23.85" hidden="false" customHeight="false" outlineLevel="0" collapsed="false">
      <c r="A365" s="9" t="s">
        <v>898</v>
      </c>
      <c r="B365" s="9" t="s">
        <v>498</v>
      </c>
      <c r="C365" s="9" t="s">
        <v>899</v>
      </c>
      <c r="D365" s="9" t="s">
        <v>150</v>
      </c>
      <c r="E365" s="9" t="s">
        <v>226</v>
      </c>
      <c r="F365" s="9" t="s">
        <v>144</v>
      </c>
      <c r="G365" s="9" t="s">
        <v>507</v>
      </c>
      <c r="H365" s="9" t="s">
        <v>274</v>
      </c>
      <c r="I365" s="10"/>
      <c r="J365" s="10"/>
      <c r="K365" s="10"/>
      <c r="L365" s="10"/>
      <c r="M365" s="10"/>
      <c r="N365" s="10"/>
    </row>
    <row r="366" customFormat="false" ht="23.85" hidden="false" customHeight="false" outlineLevel="0" collapsed="false">
      <c r="A366" s="9" t="s">
        <v>900</v>
      </c>
      <c r="B366" s="9" t="s">
        <v>498</v>
      </c>
      <c r="C366" s="9" t="s">
        <v>901</v>
      </c>
      <c r="D366" s="9" t="s">
        <v>150</v>
      </c>
      <c r="E366" s="9" t="s">
        <v>129</v>
      </c>
      <c r="F366" s="9" t="s">
        <v>144</v>
      </c>
      <c r="G366" s="9" t="s">
        <v>507</v>
      </c>
      <c r="H366" s="9" t="s">
        <v>274</v>
      </c>
      <c r="I366" s="10"/>
      <c r="J366" s="10"/>
      <c r="K366" s="10"/>
      <c r="L366" s="10"/>
      <c r="M366" s="10"/>
      <c r="N366" s="10"/>
    </row>
    <row r="367" customFormat="false" ht="23.85" hidden="false" customHeight="false" outlineLevel="0" collapsed="false">
      <c r="A367" s="9" t="s">
        <v>902</v>
      </c>
      <c r="B367" s="9" t="s">
        <v>498</v>
      </c>
      <c r="C367" s="9" t="s">
        <v>903</v>
      </c>
      <c r="D367" s="9" t="s">
        <v>150</v>
      </c>
      <c r="E367" s="9" t="s">
        <v>226</v>
      </c>
      <c r="F367" s="9" t="s">
        <v>144</v>
      </c>
      <c r="G367" s="9" t="s">
        <v>507</v>
      </c>
      <c r="H367" s="9" t="s">
        <v>274</v>
      </c>
      <c r="I367" s="10"/>
      <c r="J367" s="10"/>
      <c r="K367" s="10"/>
      <c r="L367" s="10"/>
      <c r="M367" s="10"/>
      <c r="N367" s="10"/>
    </row>
    <row r="368" customFormat="false" ht="23.85" hidden="false" customHeight="false" outlineLevel="0" collapsed="false">
      <c r="A368" s="9" t="s">
        <v>904</v>
      </c>
      <c r="B368" s="9" t="s">
        <v>498</v>
      </c>
      <c r="C368" s="9" t="s">
        <v>905</v>
      </c>
      <c r="D368" s="9" t="s">
        <v>150</v>
      </c>
      <c r="E368" s="9" t="s">
        <v>129</v>
      </c>
      <c r="F368" s="9" t="s">
        <v>144</v>
      </c>
      <c r="G368" s="9" t="s">
        <v>507</v>
      </c>
      <c r="H368" s="9" t="s">
        <v>274</v>
      </c>
      <c r="I368" s="10"/>
      <c r="J368" s="10"/>
      <c r="K368" s="10"/>
      <c r="L368" s="10"/>
      <c r="M368" s="10"/>
      <c r="N368" s="10"/>
    </row>
    <row r="369" customFormat="false" ht="23.85" hidden="false" customHeight="false" outlineLevel="0" collapsed="false">
      <c r="A369" s="9" t="s">
        <v>906</v>
      </c>
      <c r="B369" s="9" t="s">
        <v>498</v>
      </c>
      <c r="C369" s="9" t="s">
        <v>907</v>
      </c>
      <c r="D369" s="9" t="s">
        <v>510</v>
      </c>
      <c r="E369" s="9" t="s">
        <v>129</v>
      </c>
      <c r="F369" s="9" t="s">
        <v>144</v>
      </c>
      <c r="G369" s="9" t="s">
        <v>507</v>
      </c>
      <c r="H369" s="9" t="s">
        <v>274</v>
      </c>
      <c r="I369" s="10"/>
      <c r="J369" s="10"/>
      <c r="K369" s="10"/>
      <c r="L369" s="10"/>
      <c r="M369" s="10"/>
      <c r="N369" s="10"/>
    </row>
    <row r="370" customFormat="false" ht="23.85" hidden="false" customHeight="false" outlineLevel="0" collapsed="false">
      <c r="A370" s="9" t="s">
        <v>908</v>
      </c>
      <c r="B370" s="9" t="s">
        <v>498</v>
      </c>
      <c r="C370" s="9" t="s">
        <v>909</v>
      </c>
      <c r="D370" s="9" t="s">
        <v>150</v>
      </c>
      <c r="E370" s="9" t="s">
        <v>226</v>
      </c>
      <c r="F370" s="9" t="s">
        <v>144</v>
      </c>
      <c r="G370" s="9" t="s">
        <v>507</v>
      </c>
      <c r="H370" s="9" t="s">
        <v>274</v>
      </c>
      <c r="I370" s="10"/>
      <c r="J370" s="10"/>
      <c r="K370" s="10"/>
      <c r="L370" s="10"/>
      <c r="M370" s="10"/>
      <c r="N370" s="10"/>
    </row>
    <row r="371" customFormat="false" ht="23.85" hidden="false" customHeight="false" outlineLevel="0" collapsed="false">
      <c r="A371" s="9" t="s">
        <v>910</v>
      </c>
      <c r="B371" s="9" t="s">
        <v>498</v>
      </c>
      <c r="C371" s="9" t="s">
        <v>911</v>
      </c>
      <c r="D371" s="9" t="s">
        <v>150</v>
      </c>
      <c r="E371" s="9" t="s">
        <v>129</v>
      </c>
      <c r="F371" s="9" t="s">
        <v>151</v>
      </c>
      <c r="G371" s="9" t="s">
        <v>507</v>
      </c>
      <c r="H371" s="9" t="s">
        <v>274</v>
      </c>
      <c r="I371" s="10"/>
      <c r="J371" s="10"/>
      <c r="K371" s="10"/>
      <c r="L371" s="10"/>
      <c r="M371" s="10"/>
      <c r="N371" s="10"/>
    </row>
    <row r="372" customFormat="false" ht="23.85" hidden="false" customHeight="false" outlineLevel="0" collapsed="false">
      <c r="A372" s="9" t="s">
        <v>912</v>
      </c>
      <c r="B372" s="9" t="s">
        <v>498</v>
      </c>
      <c r="C372" s="9" t="s">
        <v>913</v>
      </c>
      <c r="D372" s="9" t="s">
        <v>510</v>
      </c>
      <c r="E372" s="9" t="s">
        <v>226</v>
      </c>
      <c r="F372" s="9" t="s">
        <v>144</v>
      </c>
      <c r="G372" s="9" t="s">
        <v>507</v>
      </c>
      <c r="H372" s="9" t="s">
        <v>274</v>
      </c>
      <c r="I372" s="10"/>
      <c r="J372" s="10"/>
      <c r="K372" s="10"/>
      <c r="L372" s="10"/>
      <c r="M372" s="10"/>
      <c r="N372" s="10"/>
    </row>
    <row r="373" customFormat="false" ht="23.85" hidden="false" customHeight="false" outlineLevel="0" collapsed="false">
      <c r="A373" s="9" t="s">
        <v>914</v>
      </c>
      <c r="B373" s="9" t="s">
        <v>362</v>
      </c>
      <c r="C373" s="9" t="s">
        <v>915</v>
      </c>
      <c r="D373" s="9" t="s">
        <v>150</v>
      </c>
      <c r="E373" s="9" t="s">
        <v>129</v>
      </c>
      <c r="F373" s="9" t="s">
        <v>130</v>
      </c>
      <c r="G373" s="9" t="s">
        <v>507</v>
      </c>
      <c r="H373" s="9" t="s">
        <v>140</v>
      </c>
      <c r="I373" s="10"/>
      <c r="J373" s="10"/>
      <c r="K373" s="10"/>
      <c r="L373" s="10"/>
      <c r="M373" s="10"/>
      <c r="N373" s="10"/>
    </row>
    <row r="374" customFormat="false" ht="23.85" hidden="false" customHeight="false" outlineLevel="0" collapsed="false">
      <c r="A374" s="9" t="s">
        <v>916</v>
      </c>
      <c r="B374" s="9" t="s">
        <v>362</v>
      </c>
      <c r="C374" s="9" t="s">
        <v>917</v>
      </c>
      <c r="D374" s="9" t="s">
        <v>150</v>
      </c>
      <c r="E374" s="9" t="s">
        <v>129</v>
      </c>
      <c r="F374" s="9" t="s">
        <v>130</v>
      </c>
      <c r="G374" s="9" t="s">
        <v>507</v>
      </c>
      <c r="H374" s="9" t="s">
        <v>140</v>
      </c>
      <c r="I374" s="10"/>
      <c r="J374" s="10"/>
      <c r="K374" s="10"/>
      <c r="L374" s="10"/>
      <c r="M374" s="10"/>
      <c r="N374" s="10"/>
    </row>
    <row r="375" customFormat="false" ht="23.85" hidden="false" customHeight="false" outlineLevel="0" collapsed="false">
      <c r="A375" s="9" t="s">
        <v>918</v>
      </c>
      <c r="B375" s="9" t="s">
        <v>362</v>
      </c>
      <c r="C375" s="9" t="s">
        <v>919</v>
      </c>
      <c r="D375" s="9" t="s">
        <v>150</v>
      </c>
      <c r="E375" s="9" t="s">
        <v>249</v>
      </c>
      <c r="F375" s="9" t="s">
        <v>154</v>
      </c>
      <c r="G375" s="9" t="s">
        <v>507</v>
      </c>
      <c r="H375" s="9" t="s">
        <v>140</v>
      </c>
      <c r="I375" s="10"/>
      <c r="J375" s="10"/>
      <c r="K375" s="10"/>
      <c r="L375" s="10"/>
      <c r="M375" s="10"/>
      <c r="N375" s="10"/>
    </row>
    <row r="376" customFormat="false" ht="23.85" hidden="false" customHeight="false" outlineLevel="0" collapsed="false">
      <c r="A376" s="9" t="s">
        <v>920</v>
      </c>
      <c r="B376" s="9" t="s">
        <v>362</v>
      </c>
      <c r="C376" s="9" t="s">
        <v>921</v>
      </c>
      <c r="D376" s="9" t="s">
        <v>150</v>
      </c>
      <c r="E376" s="9" t="s">
        <v>249</v>
      </c>
      <c r="F376" s="9" t="s">
        <v>130</v>
      </c>
      <c r="G376" s="9" t="s">
        <v>507</v>
      </c>
      <c r="H376" s="9" t="s">
        <v>140</v>
      </c>
      <c r="I376" s="10"/>
      <c r="J376" s="10"/>
      <c r="K376" s="10"/>
      <c r="L376" s="10"/>
      <c r="M376" s="10"/>
      <c r="N376" s="10"/>
    </row>
    <row r="377" customFormat="false" ht="23.85" hidden="false" customHeight="false" outlineLevel="0" collapsed="false">
      <c r="A377" s="9" t="s">
        <v>922</v>
      </c>
      <c r="B377" s="9" t="s">
        <v>362</v>
      </c>
      <c r="C377" s="9" t="s">
        <v>923</v>
      </c>
      <c r="D377" s="9" t="s">
        <v>150</v>
      </c>
      <c r="E377" s="9" t="s">
        <v>129</v>
      </c>
      <c r="F377" s="9" t="s">
        <v>144</v>
      </c>
      <c r="G377" s="9" t="s">
        <v>507</v>
      </c>
      <c r="H377" s="9" t="s">
        <v>274</v>
      </c>
      <c r="I377" s="10"/>
      <c r="J377" s="10"/>
      <c r="K377" s="10"/>
      <c r="L377" s="10"/>
      <c r="M377" s="10"/>
      <c r="N377" s="10"/>
    </row>
    <row r="378" customFormat="false" ht="23.85" hidden="false" customHeight="false" outlineLevel="0" collapsed="false">
      <c r="A378" s="9" t="s">
        <v>924</v>
      </c>
      <c r="B378" s="9" t="s">
        <v>362</v>
      </c>
      <c r="C378" s="9" t="s">
        <v>925</v>
      </c>
      <c r="D378" s="9" t="s">
        <v>150</v>
      </c>
      <c r="E378" s="9" t="s">
        <v>183</v>
      </c>
      <c r="F378" s="9" t="s">
        <v>130</v>
      </c>
      <c r="G378" s="9" t="s">
        <v>507</v>
      </c>
      <c r="H378" s="9" t="s">
        <v>140</v>
      </c>
      <c r="I378" s="10"/>
      <c r="J378" s="10"/>
      <c r="K378" s="10"/>
      <c r="L378" s="10"/>
      <c r="M378" s="10"/>
      <c r="N378" s="10"/>
    </row>
    <row r="379" customFormat="false" ht="23.85" hidden="false" customHeight="false" outlineLevel="0" collapsed="false">
      <c r="A379" s="9" t="s">
        <v>926</v>
      </c>
      <c r="B379" s="9" t="s">
        <v>503</v>
      </c>
      <c r="C379" s="9" t="s">
        <v>927</v>
      </c>
      <c r="D379" s="9" t="s">
        <v>150</v>
      </c>
      <c r="E379" s="9" t="s">
        <v>129</v>
      </c>
      <c r="F379" s="9" t="s">
        <v>154</v>
      </c>
      <c r="G379" s="9" t="s">
        <v>507</v>
      </c>
      <c r="H379" s="9" t="s">
        <v>140</v>
      </c>
      <c r="I379" s="10"/>
      <c r="J379" s="10"/>
      <c r="K379" s="10"/>
      <c r="L379" s="10"/>
      <c r="M379" s="10"/>
      <c r="N379" s="10"/>
    </row>
    <row r="380" customFormat="false" ht="23.85" hidden="false" customHeight="false" outlineLevel="0" collapsed="false">
      <c r="A380" s="9" t="s">
        <v>928</v>
      </c>
      <c r="B380" s="9" t="s">
        <v>503</v>
      </c>
      <c r="C380" s="9" t="s">
        <v>929</v>
      </c>
      <c r="D380" s="9" t="s">
        <v>150</v>
      </c>
      <c r="E380" s="9" t="s">
        <v>129</v>
      </c>
      <c r="F380" s="9" t="s">
        <v>151</v>
      </c>
      <c r="G380" s="9" t="s">
        <v>507</v>
      </c>
      <c r="H380" s="9" t="s">
        <v>274</v>
      </c>
      <c r="I380" s="10"/>
      <c r="J380" s="10"/>
      <c r="K380" s="10"/>
      <c r="L380" s="10"/>
      <c r="M380" s="10"/>
      <c r="N380" s="10"/>
    </row>
    <row r="381" customFormat="false" ht="23.85" hidden="false" customHeight="false" outlineLevel="0" collapsed="false">
      <c r="A381" s="9" t="s">
        <v>930</v>
      </c>
      <c r="B381" s="9" t="s">
        <v>503</v>
      </c>
      <c r="C381" s="9" t="s">
        <v>931</v>
      </c>
      <c r="D381" s="9" t="s">
        <v>510</v>
      </c>
      <c r="E381" s="9" t="s">
        <v>129</v>
      </c>
      <c r="F381" s="9" t="s">
        <v>144</v>
      </c>
      <c r="G381" s="9" t="s">
        <v>507</v>
      </c>
      <c r="H381" s="9" t="s">
        <v>274</v>
      </c>
      <c r="I381" s="10"/>
      <c r="J381" s="10"/>
      <c r="K381" s="10"/>
      <c r="L381" s="10"/>
      <c r="M381" s="10"/>
      <c r="N381" s="10"/>
    </row>
  </sheetData>
  <autoFilter ref="A1:N381"/>
  <dataValidations count="1">
    <dataValidation allowBlank="true" errorStyle="stop" operator="between" showDropDown="false" showErrorMessage="false" showInputMessage="false" sqref="I3:I381" type="list">
      <formula1>"Live,Partial,In build,Planned,Not offered,Not sure"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36"/>
    <col collapsed="false" customWidth="true" hidden="false" outlineLevel="0" max="3" min="3" style="0" width="34"/>
    <col collapsed="false" customWidth="true" hidden="false" outlineLevel="0" max="4" min="4" style="0" width="18"/>
    <col collapsed="false" customWidth="true" hidden="false" outlineLevel="0" max="5" min="5" style="0" width="34"/>
    <col collapsed="false" customWidth="true" hidden="false" outlineLevel="0" max="6" min="6" style="0" width="70"/>
    <col collapsed="false" customWidth="true" hidden="false" outlineLevel="0" max="7" min="7" style="0" width="14"/>
    <col collapsed="false" customWidth="true" hidden="false" outlineLevel="0" max="8" min="8" style="0" width="40"/>
  </cols>
  <sheetData>
    <row r="1" customFormat="false" ht="23.85" hidden="false" customHeight="false" outlineLevel="0" collapsed="false">
      <c r="A1" s="7" t="s">
        <v>113</v>
      </c>
      <c r="B1" s="7" t="s">
        <v>932</v>
      </c>
      <c r="C1" s="7" t="s">
        <v>933</v>
      </c>
      <c r="D1" s="7" t="s">
        <v>934</v>
      </c>
      <c r="E1" s="7" t="s">
        <v>935</v>
      </c>
      <c r="F1" s="7" t="s">
        <v>936</v>
      </c>
      <c r="G1" s="7" t="s">
        <v>937</v>
      </c>
      <c r="H1" s="7" t="s">
        <v>938</v>
      </c>
    </row>
    <row r="2" customFormat="false" ht="15" hidden="false" customHeight="false" outlineLevel="0" collapsed="false">
      <c r="A2" s="8" t="s">
        <v>23</v>
      </c>
      <c r="B2" s="8" t="s">
        <v>939</v>
      </c>
      <c r="C2" s="8" t="s">
        <v>940</v>
      </c>
      <c r="D2" s="8" t="s">
        <v>941</v>
      </c>
      <c r="E2" s="8"/>
      <c r="F2" s="8" t="s">
        <v>942</v>
      </c>
      <c r="G2" s="8" t="s">
        <v>943</v>
      </c>
      <c r="H2" s="8" t="s">
        <v>944</v>
      </c>
    </row>
    <row r="3" customFormat="false" ht="57.45" hidden="false" customHeight="false" outlineLevel="0" collapsed="false">
      <c r="A3" s="9" t="s">
        <v>945</v>
      </c>
      <c r="B3" s="9" t="s">
        <v>946</v>
      </c>
      <c r="C3" s="9" t="s">
        <v>947</v>
      </c>
      <c r="D3" s="9" t="s">
        <v>941</v>
      </c>
      <c r="E3" s="9"/>
      <c r="F3" s="9" t="s">
        <v>948</v>
      </c>
      <c r="G3" s="10"/>
      <c r="H3" s="10"/>
    </row>
    <row r="4" customFormat="false" ht="23.85" hidden="false" customHeight="false" outlineLevel="0" collapsed="false">
      <c r="A4" s="9" t="s">
        <v>949</v>
      </c>
      <c r="B4" s="9" t="s">
        <v>950</v>
      </c>
      <c r="C4" s="9" t="s">
        <v>951</v>
      </c>
      <c r="D4" s="9" t="s">
        <v>941</v>
      </c>
      <c r="E4" s="9"/>
      <c r="F4" s="9" t="s">
        <v>952</v>
      </c>
      <c r="G4" s="10"/>
      <c r="H4" s="10"/>
    </row>
    <row r="5" customFormat="false" ht="15" hidden="false" customHeight="false" outlineLevel="0" collapsed="false">
      <c r="A5" s="9" t="s">
        <v>953</v>
      </c>
      <c r="B5" s="9" t="s">
        <v>954</v>
      </c>
      <c r="C5" s="9" t="s">
        <v>955</v>
      </c>
      <c r="D5" s="9" t="s">
        <v>941</v>
      </c>
      <c r="E5" s="9"/>
      <c r="F5" s="9" t="s">
        <v>956</v>
      </c>
      <c r="G5" s="10"/>
      <c r="H5" s="10"/>
    </row>
    <row r="6" customFormat="false" ht="35.05" hidden="false" customHeight="false" outlineLevel="0" collapsed="false">
      <c r="A6" s="9" t="s">
        <v>957</v>
      </c>
      <c r="B6" s="9" t="s">
        <v>958</v>
      </c>
      <c r="C6" s="9" t="s">
        <v>959</v>
      </c>
      <c r="D6" s="9" t="s">
        <v>941</v>
      </c>
      <c r="E6" s="9"/>
      <c r="F6" s="9" t="s">
        <v>960</v>
      </c>
      <c r="G6" s="10"/>
      <c r="H6" s="10"/>
    </row>
    <row r="7" customFormat="false" ht="46.25" hidden="false" customHeight="false" outlineLevel="0" collapsed="false">
      <c r="A7" s="9" t="s">
        <v>961</v>
      </c>
      <c r="B7" s="9" t="s">
        <v>962</v>
      </c>
      <c r="C7" s="9" t="s">
        <v>963</v>
      </c>
      <c r="D7" s="9" t="s">
        <v>941</v>
      </c>
      <c r="E7" s="9"/>
      <c r="F7" s="9" t="s">
        <v>964</v>
      </c>
      <c r="G7" s="10"/>
      <c r="H7" s="10"/>
    </row>
    <row r="8" customFormat="false" ht="35.05" hidden="false" customHeight="false" outlineLevel="0" collapsed="false">
      <c r="A8" s="9" t="s">
        <v>965</v>
      </c>
      <c r="B8" s="9" t="s">
        <v>966</v>
      </c>
      <c r="C8" s="9" t="s">
        <v>967</v>
      </c>
      <c r="D8" s="9" t="s">
        <v>941</v>
      </c>
      <c r="E8" s="9"/>
      <c r="F8" s="9" t="s">
        <v>968</v>
      </c>
      <c r="G8" s="10"/>
      <c r="H8" s="10"/>
    </row>
    <row r="9" customFormat="false" ht="23.85" hidden="false" customHeight="false" outlineLevel="0" collapsed="false">
      <c r="A9" s="9" t="s">
        <v>969</v>
      </c>
      <c r="B9" s="9" t="s">
        <v>970</v>
      </c>
      <c r="C9" s="9" t="s">
        <v>971</v>
      </c>
      <c r="D9" s="9" t="s">
        <v>941</v>
      </c>
      <c r="E9" s="9"/>
      <c r="F9" s="9" t="s">
        <v>972</v>
      </c>
      <c r="G9" s="10"/>
      <c r="H9" s="10"/>
    </row>
    <row r="10" customFormat="false" ht="23.85" hidden="false" customHeight="false" outlineLevel="0" collapsed="false">
      <c r="A10" s="9" t="s">
        <v>973</v>
      </c>
      <c r="B10" s="9" t="s">
        <v>974</v>
      </c>
      <c r="C10" s="9" t="s">
        <v>975</v>
      </c>
      <c r="D10" s="9" t="s">
        <v>941</v>
      </c>
      <c r="E10" s="9"/>
      <c r="F10" s="9" t="s">
        <v>976</v>
      </c>
      <c r="G10" s="10"/>
      <c r="H10" s="10"/>
    </row>
    <row r="11" customFormat="false" ht="46.25" hidden="false" customHeight="false" outlineLevel="0" collapsed="false">
      <c r="A11" s="9" t="s">
        <v>146</v>
      </c>
      <c r="B11" s="9" t="s">
        <v>977</v>
      </c>
      <c r="C11" s="9" t="s">
        <v>978</v>
      </c>
      <c r="D11" s="9" t="s">
        <v>979</v>
      </c>
      <c r="E11" s="9" t="s">
        <v>980</v>
      </c>
      <c r="F11" s="9" t="s">
        <v>981</v>
      </c>
      <c r="G11" s="10"/>
      <c r="H11" s="10"/>
    </row>
    <row r="12" customFormat="false" ht="46.25" hidden="false" customHeight="false" outlineLevel="0" collapsed="false">
      <c r="A12" s="9" t="s">
        <v>141</v>
      </c>
      <c r="B12" s="9" t="s">
        <v>982</v>
      </c>
      <c r="C12" s="9" t="s">
        <v>983</v>
      </c>
      <c r="D12" s="9" t="s">
        <v>979</v>
      </c>
      <c r="E12" s="9" t="s">
        <v>984</v>
      </c>
      <c r="F12" s="9" t="s">
        <v>985</v>
      </c>
      <c r="G12" s="10"/>
      <c r="H12" s="10"/>
    </row>
    <row r="13" customFormat="false" ht="35.05" hidden="false" customHeight="false" outlineLevel="0" collapsed="false">
      <c r="A13" s="9" t="s">
        <v>986</v>
      </c>
      <c r="B13" s="9" t="s">
        <v>939</v>
      </c>
      <c r="C13" s="9" t="s">
        <v>940</v>
      </c>
      <c r="D13" s="9" t="s">
        <v>941</v>
      </c>
      <c r="E13" s="9"/>
      <c r="F13" s="9" t="s">
        <v>987</v>
      </c>
      <c r="G13" s="10"/>
      <c r="H13" s="10"/>
    </row>
    <row r="14" customFormat="false" ht="23.85" hidden="false" customHeight="false" outlineLevel="0" collapsed="false">
      <c r="A14" s="9" t="s">
        <v>988</v>
      </c>
      <c r="B14" s="9" t="s">
        <v>989</v>
      </c>
      <c r="C14" s="9" t="s">
        <v>940</v>
      </c>
      <c r="D14" s="9" t="s">
        <v>941</v>
      </c>
      <c r="E14" s="9"/>
      <c r="F14" s="9" t="s">
        <v>990</v>
      </c>
      <c r="G14" s="10"/>
      <c r="H14" s="10"/>
    </row>
    <row r="15" customFormat="false" ht="23.85" hidden="false" customHeight="false" outlineLevel="0" collapsed="false">
      <c r="A15" s="9" t="s">
        <v>991</v>
      </c>
      <c r="B15" s="9" t="s">
        <v>992</v>
      </c>
      <c r="C15" s="9" t="s">
        <v>993</v>
      </c>
      <c r="D15" s="9" t="s">
        <v>941</v>
      </c>
      <c r="E15" s="9"/>
      <c r="F15" s="9" t="s">
        <v>994</v>
      </c>
      <c r="G15" s="10"/>
      <c r="H15" s="10"/>
    </row>
    <row r="16" customFormat="false" ht="35.05" hidden="false" customHeight="false" outlineLevel="0" collapsed="false">
      <c r="A16" s="9" t="s">
        <v>148</v>
      </c>
      <c r="B16" s="9" t="s">
        <v>995</v>
      </c>
      <c r="C16" s="9" t="s">
        <v>996</v>
      </c>
      <c r="D16" s="9" t="s">
        <v>979</v>
      </c>
      <c r="E16" s="9" t="s">
        <v>997</v>
      </c>
      <c r="F16" s="9" t="s">
        <v>998</v>
      </c>
      <c r="G16" s="10"/>
      <c r="H16" s="10"/>
    </row>
    <row r="17" customFormat="false" ht="23.85" hidden="false" customHeight="false" outlineLevel="0" collapsed="false">
      <c r="A17" s="9" t="s">
        <v>152</v>
      </c>
      <c r="B17" s="9" t="s">
        <v>999</v>
      </c>
      <c r="C17" s="9" t="s">
        <v>996</v>
      </c>
      <c r="D17" s="9" t="s">
        <v>979</v>
      </c>
      <c r="E17" s="9" t="s">
        <v>1000</v>
      </c>
      <c r="F17" s="9" t="s">
        <v>1001</v>
      </c>
      <c r="G17" s="10"/>
      <c r="H17" s="10"/>
    </row>
    <row r="18" customFormat="false" ht="35.05" hidden="false" customHeight="false" outlineLevel="0" collapsed="false">
      <c r="A18" s="9" t="s">
        <v>1002</v>
      </c>
      <c r="B18" s="9" t="s">
        <v>1003</v>
      </c>
      <c r="C18" s="9" t="s">
        <v>1004</v>
      </c>
      <c r="D18" s="9" t="s">
        <v>941</v>
      </c>
      <c r="E18" s="9"/>
      <c r="F18" s="9" t="s">
        <v>1005</v>
      </c>
      <c r="G18" s="10"/>
      <c r="H18" s="10"/>
    </row>
    <row r="19" customFormat="false" ht="46.25" hidden="false" customHeight="false" outlineLevel="0" collapsed="false">
      <c r="A19" s="9" t="s">
        <v>1006</v>
      </c>
      <c r="B19" s="9" t="s">
        <v>1007</v>
      </c>
      <c r="C19" s="9" t="s">
        <v>1008</v>
      </c>
      <c r="D19" s="9" t="s">
        <v>941</v>
      </c>
      <c r="E19" s="9"/>
      <c r="F19" s="9" t="s">
        <v>1009</v>
      </c>
      <c r="G19" s="10"/>
      <c r="H19" s="10"/>
    </row>
    <row r="20" customFormat="false" ht="46.25" hidden="false" customHeight="false" outlineLevel="0" collapsed="false">
      <c r="A20" s="9" t="s">
        <v>186</v>
      </c>
      <c r="B20" s="9" t="s">
        <v>1010</v>
      </c>
      <c r="C20" s="9" t="s">
        <v>1008</v>
      </c>
      <c r="D20" s="9" t="s">
        <v>979</v>
      </c>
      <c r="E20" s="9" t="s">
        <v>1011</v>
      </c>
      <c r="F20" s="9" t="s">
        <v>1012</v>
      </c>
      <c r="G20" s="10"/>
      <c r="H20" s="10"/>
    </row>
    <row r="21" customFormat="false" ht="23.85" hidden="false" customHeight="false" outlineLevel="0" collapsed="false">
      <c r="A21" s="9" t="s">
        <v>1013</v>
      </c>
      <c r="B21" s="9" t="s">
        <v>1014</v>
      </c>
      <c r="C21" s="9" t="s">
        <v>1008</v>
      </c>
      <c r="D21" s="9" t="s">
        <v>941</v>
      </c>
      <c r="E21" s="9"/>
      <c r="F21" s="9" t="s">
        <v>1015</v>
      </c>
      <c r="G21" s="10"/>
      <c r="H21" s="10"/>
    </row>
    <row r="22" customFormat="false" ht="23.85" hidden="false" customHeight="false" outlineLevel="0" collapsed="false">
      <c r="A22" s="9" t="s">
        <v>1016</v>
      </c>
      <c r="B22" s="9" t="s">
        <v>1017</v>
      </c>
      <c r="C22" s="9" t="s">
        <v>1008</v>
      </c>
      <c r="D22" s="9" t="s">
        <v>941</v>
      </c>
      <c r="E22" s="9"/>
      <c r="F22" s="9" t="s">
        <v>1018</v>
      </c>
      <c r="G22" s="10"/>
      <c r="H22" s="10"/>
    </row>
    <row r="23" customFormat="false" ht="15" hidden="false" customHeight="false" outlineLevel="0" collapsed="false">
      <c r="A23" s="9" t="s">
        <v>1019</v>
      </c>
      <c r="B23" s="9" t="s">
        <v>1020</v>
      </c>
      <c r="C23" s="9" t="s">
        <v>1008</v>
      </c>
      <c r="D23" s="9" t="s">
        <v>941</v>
      </c>
      <c r="E23" s="9"/>
      <c r="F23" s="9" t="s">
        <v>1021</v>
      </c>
      <c r="G23" s="10"/>
      <c r="H23" s="10"/>
    </row>
    <row r="24" customFormat="false" ht="15" hidden="false" customHeight="false" outlineLevel="0" collapsed="false">
      <c r="A24" s="9" t="s">
        <v>1022</v>
      </c>
      <c r="B24" s="9" t="s">
        <v>1023</v>
      </c>
      <c r="C24" s="9" t="s">
        <v>1008</v>
      </c>
      <c r="D24" s="9" t="s">
        <v>941</v>
      </c>
      <c r="E24" s="9"/>
      <c r="F24" s="9" t="s">
        <v>1024</v>
      </c>
      <c r="G24" s="10"/>
      <c r="H24" s="10"/>
    </row>
    <row r="25" customFormat="false" ht="35.05" hidden="false" customHeight="false" outlineLevel="0" collapsed="false">
      <c r="A25" s="9" t="s">
        <v>1025</v>
      </c>
      <c r="B25" s="9" t="s">
        <v>1026</v>
      </c>
      <c r="C25" s="9" t="s">
        <v>1008</v>
      </c>
      <c r="D25" s="9" t="s">
        <v>941</v>
      </c>
      <c r="E25" s="9"/>
      <c r="F25" s="9" t="s">
        <v>1027</v>
      </c>
      <c r="G25" s="10"/>
      <c r="H25" s="10"/>
    </row>
    <row r="26" customFormat="false" ht="23.85" hidden="false" customHeight="false" outlineLevel="0" collapsed="false">
      <c r="A26" s="9" t="s">
        <v>189</v>
      </c>
      <c r="B26" s="9" t="s">
        <v>1028</v>
      </c>
      <c r="C26" s="9" t="s">
        <v>1008</v>
      </c>
      <c r="D26" s="9" t="s">
        <v>979</v>
      </c>
      <c r="E26" s="9" t="s">
        <v>1029</v>
      </c>
      <c r="F26" s="9" t="s">
        <v>1030</v>
      </c>
      <c r="G26" s="10"/>
      <c r="H26" s="10"/>
    </row>
    <row r="27" customFormat="false" ht="35.05" hidden="false" customHeight="false" outlineLevel="0" collapsed="false">
      <c r="A27" s="9" t="s">
        <v>1031</v>
      </c>
      <c r="B27" s="9" t="s">
        <v>1032</v>
      </c>
      <c r="C27" s="9" t="s">
        <v>1008</v>
      </c>
      <c r="D27" s="9" t="s">
        <v>941</v>
      </c>
      <c r="E27" s="9"/>
      <c r="F27" s="9" t="s">
        <v>1033</v>
      </c>
      <c r="G27" s="10"/>
      <c r="H27" s="10"/>
    </row>
    <row r="28" customFormat="false" ht="23.85" hidden="false" customHeight="false" outlineLevel="0" collapsed="false">
      <c r="A28" s="9" t="s">
        <v>1034</v>
      </c>
      <c r="B28" s="9" t="s">
        <v>1035</v>
      </c>
      <c r="C28" s="9" t="s">
        <v>1008</v>
      </c>
      <c r="D28" s="9" t="s">
        <v>941</v>
      </c>
      <c r="E28" s="9"/>
      <c r="F28" s="9" t="s">
        <v>1036</v>
      </c>
      <c r="G28" s="10"/>
      <c r="H28" s="10"/>
    </row>
    <row r="29" customFormat="false" ht="35.05" hidden="false" customHeight="false" outlineLevel="0" collapsed="false">
      <c r="A29" s="9" t="s">
        <v>1037</v>
      </c>
      <c r="B29" s="9" t="s">
        <v>1038</v>
      </c>
      <c r="C29" s="9" t="s">
        <v>1039</v>
      </c>
      <c r="D29" s="9" t="s">
        <v>941</v>
      </c>
      <c r="E29" s="9"/>
      <c r="F29" s="9" t="s">
        <v>1040</v>
      </c>
      <c r="G29" s="10"/>
      <c r="H29" s="10"/>
    </row>
    <row r="30" customFormat="false" ht="35.05" hidden="false" customHeight="false" outlineLevel="0" collapsed="false">
      <c r="A30" s="9" t="s">
        <v>1041</v>
      </c>
      <c r="B30" s="9" t="s">
        <v>1042</v>
      </c>
      <c r="C30" s="9" t="s">
        <v>1039</v>
      </c>
      <c r="D30" s="9" t="s">
        <v>941</v>
      </c>
      <c r="E30" s="9"/>
      <c r="F30" s="9" t="s">
        <v>1043</v>
      </c>
      <c r="G30" s="10"/>
      <c r="H30" s="10"/>
    </row>
    <row r="31" customFormat="false" ht="15" hidden="false" customHeight="false" outlineLevel="0" collapsed="false">
      <c r="A31" s="9" t="s">
        <v>1044</v>
      </c>
      <c r="B31" s="9" t="s">
        <v>1045</v>
      </c>
      <c r="C31" s="9" t="s">
        <v>1039</v>
      </c>
      <c r="D31" s="9" t="s">
        <v>941</v>
      </c>
      <c r="E31" s="9"/>
      <c r="F31" s="9" t="s">
        <v>1046</v>
      </c>
      <c r="G31" s="10"/>
      <c r="H31" s="10"/>
    </row>
    <row r="32" customFormat="false" ht="23.85" hidden="false" customHeight="false" outlineLevel="0" collapsed="false">
      <c r="A32" s="9" t="s">
        <v>1047</v>
      </c>
      <c r="B32" s="9" t="s">
        <v>1048</v>
      </c>
      <c r="C32" s="9" t="s">
        <v>1039</v>
      </c>
      <c r="D32" s="9" t="s">
        <v>941</v>
      </c>
      <c r="E32" s="9"/>
      <c r="F32" s="9" t="s">
        <v>1049</v>
      </c>
      <c r="G32" s="10"/>
      <c r="H32" s="10"/>
    </row>
    <row r="33" customFormat="false" ht="23.85" hidden="false" customHeight="false" outlineLevel="0" collapsed="false">
      <c r="A33" s="9" t="s">
        <v>177</v>
      </c>
      <c r="B33" s="9" t="s">
        <v>1050</v>
      </c>
      <c r="C33" s="9" t="s">
        <v>1039</v>
      </c>
      <c r="D33" s="9" t="s">
        <v>979</v>
      </c>
      <c r="E33" s="9" t="s">
        <v>1051</v>
      </c>
      <c r="F33" s="9" t="s">
        <v>1052</v>
      </c>
      <c r="G33" s="10"/>
      <c r="H33" s="10"/>
    </row>
    <row r="34" customFormat="false" ht="23.85" hidden="false" customHeight="false" outlineLevel="0" collapsed="false">
      <c r="A34" s="9" t="s">
        <v>250</v>
      </c>
      <c r="B34" s="9" t="s">
        <v>1053</v>
      </c>
      <c r="C34" s="9" t="s">
        <v>1039</v>
      </c>
      <c r="D34" s="9" t="s">
        <v>979</v>
      </c>
      <c r="E34" s="9" t="s">
        <v>1054</v>
      </c>
      <c r="F34" s="9" t="s">
        <v>1055</v>
      </c>
      <c r="G34" s="10"/>
      <c r="H34" s="10"/>
    </row>
    <row r="35" customFormat="false" ht="23.85" hidden="false" customHeight="false" outlineLevel="0" collapsed="false">
      <c r="A35" s="9" t="s">
        <v>157</v>
      </c>
      <c r="B35" s="9" t="s">
        <v>1056</v>
      </c>
      <c r="C35" s="9" t="s">
        <v>1039</v>
      </c>
      <c r="D35" s="9" t="s">
        <v>979</v>
      </c>
      <c r="E35" s="9" t="s">
        <v>1057</v>
      </c>
      <c r="F35" s="9" t="s">
        <v>1058</v>
      </c>
      <c r="G35" s="10"/>
      <c r="H35" s="10"/>
    </row>
    <row r="36" customFormat="false" ht="23.85" hidden="false" customHeight="false" outlineLevel="0" collapsed="false">
      <c r="A36" s="9" t="s">
        <v>1059</v>
      </c>
      <c r="B36" s="9" t="s">
        <v>1060</v>
      </c>
      <c r="C36" s="9" t="s">
        <v>1039</v>
      </c>
      <c r="D36" s="9" t="s">
        <v>941</v>
      </c>
      <c r="E36" s="9"/>
      <c r="F36" s="9" t="s">
        <v>1061</v>
      </c>
      <c r="G36" s="10"/>
      <c r="H36" s="10"/>
    </row>
    <row r="37" customFormat="false" ht="23.85" hidden="false" customHeight="false" outlineLevel="0" collapsed="false">
      <c r="A37" s="9" t="s">
        <v>1062</v>
      </c>
      <c r="B37" s="9" t="s">
        <v>1063</v>
      </c>
      <c r="C37" s="9" t="s">
        <v>1064</v>
      </c>
      <c r="D37" s="9" t="s">
        <v>941</v>
      </c>
      <c r="E37" s="9"/>
      <c r="F37" s="9" t="s">
        <v>1065</v>
      </c>
      <c r="G37" s="10"/>
      <c r="H37" s="10"/>
    </row>
    <row r="38" customFormat="false" ht="35.05" hidden="false" customHeight="false" outlineLevel="0" collapsed="false">
      <c r="A38" s="9" t="s">
        <v>227</v>
      </c>
      <c r="B38" s="9" t="s">
        <v>1066</v>
      </c>
      <c r="C38" s="9" t="s">
        <v>1064</v>
      </c>
      <c r="D38" s="9" t="s">
        <v>979</v>
      </c>
      <c r="E38" s="9" t="s">
        <v>1067</v>
      </c>
      <c r="F38" s="9" t="s">
        <v>1068</v>
      </c>
      <c r="G38" s="10"/>
      <c r="H38" s="10"/>
    </row>
    <row r="39" customFormat="false" ht="23.85" hidden="false" customHeight="false" outlineLevel="0" collapsed="false">
      <c r="A39" s="9" t="s">
        <v>1069</v>
      </c>
      <c r="B39" s="9" t="s">
        <v>1070</v>
      </c>
      <c r="C39" s="9" t="s">
        <v>1064</v>
      </c>
      <c r="D39" s="9" t="s">
        <v>941</v>
      </c>
      <c r="E39" s="9"/>
      <c r="F39" s="9" t="s">
        <v>1071</v>
      </c>
      <c r="G39" s="10"/>
      <c r="H39" s="10"/>
    </row>
    <row r="40" customFormat="false" ht="35.05" hidden="false" customHeight="false" outlineLevel="0" collapsed="false">
      <c r="A40" s="9" t="s">
        <v>1072</v>
      </c>
      <c r="B40" s="9" t="s">
        <v>1073</v>
      </c>
      <c r="C40" s="9" t="s">
        <v>1074</v>
      </c>
      <c r="D40" s="9" t="s">
        <v>941</v>
      </c>
      <c r="E40" s="9"/>
      <c r="F40" s="9" t="s">
        <v>1075</v>
      </c>
      <c r="G40" s="10"/>
      <c r="H40" s="10"/>
    </row>
    <row r="41" customFormat="false" ht="35.05" hidden="false" customHeight="false" outlineLevel="0" collapsed="false">
      <c r="A41" s="9" t="s">
        <v>1076</v>
      </c>
      <c r="B41" s="9" t="s">
        <v>1077</v>
      </c>
      <c r="C41" s="9" t="s">
        <v>1074</v>
      </c>
      <c r="D41" s="9" t="s">
        <v>941</v>
      </c>
      <c r="E41" s="9"/>
      <c r="F41" s="9" t="s">
        <v>1078</v>
      </c>
      <c r="G41" s="10"/>
      <c r="H41" s="10"/>
    </row>
    <row r="42" customFormat="false" ht="35.05" hidden="false" customHeight="false" outlineLevel="0" collapsed="false">
      <c r="A42" s="9" t="s">
        <v>1079</v>
      </c>
      <c r="B42" s="9" t="s">
        <v>1080</v>
      </c>
      <c r="C42" s="9" t="s">
        <v>1081</v>
      </c>
      <c r="D42" s="9" t="s">
        <v>941</v>
      </c>
      <c r="E42" s="9"/>
      <c r="F42" s="9" t="s">
        <v>1082</v>
      </c>
      <c r="G42" s="10"/>
      <c r="H42" s="10"/>
    </row>
    <row r="43" customFormat="false" ht="35.05" hidden="false" customHeight="false" outlineLevel="0" collapsed="false">
      <c r="A43" s="9" t="s">
        <v>1083</v>
      </c>
      <c r="B43" s="9" t="s">
        <v>1084</v>
      </c>
      <c r="C43" s="9" t="s">
        <v>1081</v>
      </c>
      <c r="D43" s="9" t="s">
        <v>941</v>
      </c>
      <c r="E43" s="9"/>
      <c r="F43" s="9" t="s">
        <v>1085</v>
      </c>
      <c r="G43" s="10"/>
      <c r="H43" s="10"/>
    </row>
    <row r="44" customFormat="false" ht="15" hidden="false" customHeight="false" outlineLevel="0" collapsed="false">
      <c r="A44" s="9" t="s">
        <v>1086</v>
      </c>
      <c r="B44" s="9" t="s">
        <v>1087</v>
      </c>
      <c r="C44" s="9" t="s">
        <v>1088</v>
      </c>
      <c r="D44" s="9" t="s">
        <v>941</v>
      </c>
      <c r="E44" s="9"/>
      <c r="F44" s="9" t="s">
        <v>1089</v>
      </c>
      <c r="G44" s="10"/>
      <c r="H44" s="10"/>
    </row>
    <row r="45" customFormat="false" ht="15" hidden="false" customHeight="false" outlineLevel="0" collapsed="false">
      <c r="A45" s="9" t="s">
        <v>1090</v>
      </c>
      <c r="B45" s="9" t="s">
        <v>1091</v>
      </c>
      <c r="C45" s="9" t="s">
        <v>1088</v>
      </c>
      <c r="D45" s="9" t="s">
        <v>941</v>
      </c>
      <c r="E45" s="9"/>
      <c r="F45" s="9" t="s">
        <v>1092</v>
      </c>
      <c r="G45" s="10"/>
      <c r="H45" s="10"/>
    </row>
    <row r="46" customFormat="false" ht="23.85" hidden="false" customHeight="false" outlineLevel="0" collapsed="false">
      <c r="A46" s="9" t="s">
        <v>1093</v>
      </c>
      <c r="B46" s="9" t="s">
        <v>1094</v>
      </c>
      <c r="C46" s="9" t="s">
        <v>1088</v>
      </c>
      <c r="D46" s="9" t="s">
        <v>941</v>
      </c>
      <c r="E46" s="9"/>
      <c r="F46" s="9" t="s">
        <v>1095</v>
      </c>
      <c r="G46" s="10"/>
      <c r="H46" s="10"/>
    </row>
    <row r="47" customFormat="false" ht="23.85" hidden="false" customHeight="false" outlineLevel="0" collapsed="false">
      <c r="A47" s="9" t="s">
        <v>1096</v>
      </c>
      <c r="B47" s="9" t="s">
        <v>1097</v>
      </c>
      <c r="C47" s="9" t="s">
        <v>1098</v>
      </c>
      <c r="D47" s="9" t="s">
        <v>941</v>
      </c>
      <c r="E47" s="9"/>
      <c r="F47" s="9" t="s">
        <v>1099</v>
      </c>
      <c r="G47" s="10"/>
      <c r="H47" s="10"/>
    </row>
    <row r="48" customFormat="false" ht="35.05" hidden="false" customHeight="false" outlineLevel="0" collapsed="false">
      <c r="A48" s="9" t="s">
        <v>1100</v>
      </c>
      <c r="B48" s="9" t="s">
        <v>1101</v>
      </c>
      <c r="C48" s="9" t="s">
        <v>1098</v>
      </c>
      <c r="D48" s="9" t="s">
        <v>941</v>
      </c>
      <c r="E48" s="9"/>
      <c r="F48" s="9" t="s">
        <v>1102</v>
      </c>
      <c r="G48" s="10"/>
      <c r="H48" s="10"/>
    </row>
    <row r="49" customFormat="false" ht="15" hidden="false" customHeight="false" outlineLevel="0" collapsed="false">
      <c r="A49" s="9" t="s">
        <v>1103</v>
      </c>
      <c r="B49" s="9" t="s">
        <v>1104</v>
      </c>
      <c r="C49" s="9" t="s">
        <v>1098</v>
      </c>
      <c r="D49" s="9" t="s">
        <v>941</v>
      </c>
      <c r="E49" s="9"/>
      <c r="F49" s="9" t="s">
        <v>1105</v>
      </c>
      <c r="G49" s="10"/>
      <c r="H49" s="10"/>
    </row>
    <row r="50" customFormat="false" ht="23.85" hidden="false" customHeight="false" outlineLevel="0" collapsed="false">
      <c r="A50" s="9" t="s">
        <v>1106</v>
      </c>
      <c r="B50" s="9" t="s">
        <v>1107</v>
      </c>
      <c r="C50" s="9" t="s">
        <v>1108</v>
      </c>
      <c r="D50" s="9" t="s">
        <v>941</v>
      </c>
      <c r="E50" s="9"/>
      <c r="F50" s="9" t="s">
        <v>1109</v>
      </c>
      <c r="G50" s="10"/>
      <c r="H50" s="10"/>
    </row>
    <row r="51" customFormat="false" ht="46.25" hidden="false" customHeight="false" outlineLevel="0" collapsed="false">
      <c r="A51" s="9" t="s">
        <v>268</v>
      </c>
      <c r="B51" s="9" t="s">
        <v>1110</v>
      </c>
      <c r="C51" s="9" t="s">
        <v>1108</v>
      </c>
      <c r="D51" s="9" t="s">
        <v>979</v>
      </c>
      <c r="E51" s="9" t="s">
        <v>1111</v>
      </c>
      <c r="F51" s="9" t="s">
        <v>1112</v>
      </c>
      <c r="G51" s="10"/>
      <c r="H51" s="10"/>
    </row>
    <row r="52" customFormat="false" ht="15" hidden="false" customHeight="false" outlineLevel="0" collapsed="false">
      <c r="A52" s="9" t="s">
        <v>1113</v>
      </c>
      <c r="B52" s="9" t="s">
        <v>1114</v>
      </c>
      <c r="C52" s="9" t="s">
        <v>1098</v>
      </c>
      <c r="D52" s="9" t="s">
        <v>941</v>
      </c>
      <c r="E52" s="9"/>
      <c r="F52" s="9" t="s">
        <v>1115</v>
      </c>
      <c r="G52" s="10"/>
      <c r="H52" s="10"/>
    </row>
    <row r="53" customFormat="false" ht="15" hidden="false" customHeight="false" outlineLevel="0" collapsed="false">
      <c r="A53" s="9" t="s">
        <v>1116</v>
      </c>
      <c r="B53" s="9" t="s">
        <v>1117</v>
      </c>
      <c r="C53" s="9" t="s">
        <v>1118</v>
      </c>
      <c r="D53" s="9" t="s">
        <v>941</v>
      </c>
      <c r="E53" s="9"/>
      <c r="F53" s="9" t="s">
        <v>1119</v>
      </c>
      <c r="G53" s="10"/>
      <c r="H53" s="10"/>
    </row>
    <row r="54" customFormat="false" ht="15" hidden="false" customHeight="false" outlineLevel="0" collapsed="false">
      <c r="A54" s="9" t="s">
        <v>1120</v>
      </c>
      <c r="B54" s="9" t="s">
        <v>1121</v>
      </c>
      <c r="C54" s="9" t="s">
        <v>1118</v>
      </c>
      <c r="D54" s="9" t="s">
        <v>941</v>
      </c>
      <c r="E54" s="9"/>
      <c r="F54" s="9" t="s">
        <v>1122</v>
      </c>
      <c r="G54" s="10"/>
      <c r="H54" s="10"/>
    </row>
    <row r="55" customFormat="false" ht="23.85" hidden="false" customHeight="false" outlineLevel="0" collapsed="false">
      <c r="A55" s="9" t="s">
        <v>1123</v>
      </c>
      <c r="B55" s="9" t="s">
        <v>1124</v>
      </c>
      <c r="C55" s="9" t="s">
        <v>1118</v>
      </c>
      <c r="D55" s="9" t="s">
        <v>941</v>
      </c>
      <c r="E55" s="9"/>
      <c r="F55" s="9" t="s">
        <v>1125</v>
      </c>
      <c r="G55" s="10"/>
      <c r="H55" s="10"/>
    </row>
    <row r="56" customFormat="false" ht="15" hidden="false" customHeight="false" outlineLevel="0" collapsed="false">
      <c r="A56" s="9" t="s">
        <v>1126</v>
      </c>
      <c r="B56" s="9" t="s">
        <v>1127</v>
      </c>
      <c r="C56" s="9" t="s">
        <v>1118</v>
      </c>
      <c r="D56" s="9" t="s">
        <v>941</v>
      </c>
      <c r="E56" s="9"/>
      <c r="F56" s="9" t="s">
        <v>1128</v>
      </c>
      <c r="G56" s="10"/>
      <c r="H56" s="10"/>
    </row>
    <row r="57" customFormat="false" ht="15" hidden="false" customHeight="false" outlineLevel="0" collapsed="false">
      <c r="A57" s="9" t="s">
        <v>1129</v>
      </c>
      <c r="B57" s="9" t="s">
        <v>1130</v>
      </c>
      <c r="C57" s="9" t="s">
        <v>1118</v>
      </c>
      <c r="D57" s="9" t="s">
        <v>941</v>
      </c>
      <c r="E57" s="9"/>
      <c r="F57" s="9" t="s">
        <v>1131</v>
      </c>
      <c r="G57" s="10"/>
      <c r="H57" s="10"/>
    </row>
    <row r="58" customFormat="false" ht="23.85" hidden="false" customHeight="false" outlineLevel="0" collapsed="false">
      <c r="A58" s="9" t="s">
        <v>1132</v>
      </c>
      <c r="B58" s="9" t="s">
        <v>1133</v>
      </c>
      <c r="C58" s="9" t="s">
        <v>1118</v>
      </c>
      <c r="D58" s="9" t="s">
        <v>941</v>
      </c>
      <c r="E58" s="9"/>
      <c r="F58" s="9" t="s">
        <v>1134</v>
      </c>
      <c r="G58" s="10"/>
      <c r="H58" s="10"/>
    </row>
    <row r="59" customFormat="false" ht="15" hidden="false" customHeight="false" outlineLevel="0" collapsed="false">
      <c r="A59" s="9" t="s">
        <v>1135</v>
      </c>
      <c r="B59" s="9" t="s">
        <v>1136</v>
      </c>
      <c r="C59" s="9" t="s">
        <v>1118</v>
      </c>
      <c r="D59" s="9" t="s">
        <v>941</v>
      </c>
      <c r="E59" s="9"/>
      <c r="F59" s="9" t="s">
        <v>1137</v>
      </c>
      <c r="G59" s="10"/>
      <c r="H59" s="10"/>
    </row>
    <row r="60" customFormat="false" ht="15" hidden="false" customHeight="false" outlineLevel="0" collapsed="false">
      <c r="A60" s="9" t="s">
        <v>1138</v>
      </c>
      <c r="B60" s="9" t="s">
        <v>1139</v>
      </c>
      <c r="C60" s="9" t="s">
        <v>1140</v>
      </c>
      <c r="D60" s="9" t="s">
        <v>941</v>
      </c>
      <c r="E60" s="9"/>
      <c r="F60" s="9" t="s">
        <v>1141</v>
      </c>
      <c r="G60" s="10"/>
      <c r="H60" s="10"/>
    </row>
    <row r="61" customFormat="false" ht="23.85" hidden="false" customHeight="false" outlineLevel="0" collapsed="false">
      <c r="A61" s="9" t="s">
        <v>1142</v>
      </c>
      <c r="B61" s="9" t="s">
        <v>1143</v>
      </c>
      <c r="C61" s="9" t="s">
        <v>1144</v>
      </c>
      <c r="D61" s="9" t="s">
        <v>941</v>
      </c>
      <c r="E61" s="9"/>
      <c r="F61" s="9" t="s">
        <v>1145</v>
      </c>
      <c r="G61" s="10"/>
      <c r="H61" s="10"/>
    </row>
    <row r="62" customFormat="false" ht="15" hidden="false" customHeight="false" outlineLevel="0" collapsed="false">
      <c r="A62" s="9" t="s">
        <v>1146</v>
      </c>
      <c r="B62" s="9" t="s">
        <v>1147</v>
      </c>
      <c r="C62" s="9" t="s">
        <v>1140</v>
      </c>
      <c r="D62" s="9" t="s">
        <v>941</v>
      </c>
      <c r="E62" s="9"/>
      <c r="F62" s="9" t="s">
        <v>1148</v>
      </c>
      <c r="G62" s="10"/>
      <c r="H62" s="10"/>
    </row>
    <row r="63" customFormat="false" ht="46.25" hidden="false" customHeight="false" outlineLevel="0" collapsed="false">
      <c r="A63" s="9" t="s">
        <v>1149</v>
      </c>
      <c r="B63" s="9" t="s">
        <v>1150</v>
      </c>
      <c r="C63" s="9" t="s">
        <v>1151</v>
      </c>
      <c r="D63" s="9" t="s">
        <v>941</v>
      </c>
      <c r="E63" s="9"/>
      <c r="F63" s="9" t="s">
        <v>1152</v>
      </c>
      <c r="G63" s="10"/>
      <c r="H63" s="10"/>
    </row>
    <row r="64" customFormat="false" ht="23.85" hidden="false" customHeight="false" outlineLevel="0" collapsed="false">
      <c r="A64" s="9" t="s">
        <v>1153</v>
      </c>
      <c r="B64" s="9" t="s">
        <v>1154</v>
      </c>
      <c r="C64" s="9" t="s">
        <v>1151</v>
      </c>
      <c r="D64" s="9" t="s">
        <v>941</v>
      </c>
      <c r="E64" s="9"/>
      <c r="F64" s="9" t="s">
        <v>1155</v>
      </c>
      <c r="G64" s="10"/>
      <c r="H64" s="10"/>
    </row>
    <row r="65" customFormat="false" ht="23.85" hidden="false" customHeight="false" outlineLevel="0" collapsed="false">
      <c r="A65" s="9" t="s">
        <v>1156</v>
      </c>
      <c r="B65" s="9" t="s">
        <v>1157</v>
      </c>
      <c r="C65" s="9" t="s">
        <v>1158</v>
      </c>
      <c r="D65" s="9" t="s">
        <v>941</v>
      </c>
      <c r="E65" s="9"/>
      <c r="F65" s="9" t="s">
        <v>1159</v>
      </c>
      <c r="G65" s="10"/>
      <c r="H65" s="10"/>
    </row>
    <row r="66" customFormat="false" ht="15" hidden="false" customHeight="false" outlineLevel="0" collapsed="false">
      <c r="A66" s="9" t="s">
        <v>1160</v>
      </c>
      <c r="B66" s="9" t="s">
        <v>1161</v>
      </c>
      <c r="C66" s="9" t="s">
        <v>1158</v>
      </c>
      <c r="D66" s="9" t="s">
        <v>941</v>
      </c>
      <c r="E66" s="9"/>
      <c r="F66" s="9" t="s">
        <v>1162</v>
      </c>
      <c r="G66" s="10"/>
      <c r="H66" s="10"/>
    </row>
    <row r="67" customFormat="false" ht="23.85" hidden="false" customHeight="false" outlineLevel="0" collapsed="false">
      <c r="A67" s="9" t="s">
        <v>1163</v>
      </c>
      <c r="B67" s="9" t="s">
        <v>1164</v>
      </c>
      <c r="C67" s="9" t="s">
        <v>1165</v>
      </c>
      <c r="D67" s="9" t="s">
        <v>941</v>
      </c>
      <c r="E67" s="9"/>
      <c r="F67" s="9" t="s">
        <v>1166</v>
      </c>
      <c r="G67" s="10"/>
      <c r="H67" s="10"/>
    </row>
    <row r="68" customFormat="false" ht="35.05" hidden="false" customHeight="false" outlineLevel="0" collapsed="false">
      <c r="A68" s="9" t="s">
        <v>1167</v>
      </c>
      <c r="B68" s="9" t="s">
        <v>1168</v>
      </c>
      <c r="C68" s="9" t="s">
        <v>1165</v>
      </c>
      <c r="D68" s="9" t="s">
        <v>941</v>
      </c>
      <c r="E68" s="9"/>
      <c r="F68" s="9" t="s">
        <v>1169</v>
      </c>
      <c r="G68" s="10"/>
      <c r="H68" s="10"/>
    </row>
    <row r="69" customFormat="false" ht="15" hidden="false" customHeight="false" outlineLevel="0" collapsed="false">
      <c r="A69" s="9" t="s">
        <v>1170</v>
      </c>
      <c r="B69" s="9" t="s">
        <v>1171</v>
      </c>
      <c r="C69" s="9" t="s">
        <v>1165</v>
      </c>
      <c r="D69" s="9" t="s">
        <v>941</v>
      </c>
      <c r="E69" s="9"/>
      <c r="F69" s="9" t="s">
        <v>1172</v>
      </c>
      <c r="G69" s="10"/>
      <c r="H69" s="10"/>
    </row>
    <row r="70" customFormat="false" ht="23.85" hidden="false" customHeight="false" outlineLevel="0" collapsed="false">
      <c r="A70" s="9" t="s">
        <v>1173</v>
      </c>
      <c r="B70" s="9" t="s">
        <v>1174</v>
      </c>
      <c r="C70" s="9" t="s">
        <v>1165</v>
      </c>
      <c r="D70" s="9" t="s">
        <v>941</v>
      </c>
      <c r="E70" s="9"/>
      <c r="F70" s="9" t="s">
        <v>1175</v>
      </c>
      <c r="G70" s="10"/>
      <c r="H70" s="10"/>
    </row>
    <row r="71" customFormat="false" ht="23.85" hidden="false" customHeight="false" outlineLevel="0" collapsed="false">
      <c r="A71" s="9" t="s">
        <v>1176</v>
      </c>
      <c r="B71" s="9" t="s">
        <v>1177</v>
      </c>
      <c r="C71" s="9" t="s">
        <v>1178</v>
      </c>
      <c r="D71" s="9" t="s">
        <v>941</v>
      </c>
      <c r="E71" s="9"/>
      <c r="F71" s="9" t="s">
        <v>1179</v>
      </c>
      <c r="G71" s="10"/>
      <c r="H71" s="10"/>
    </row>
    <row r="72" customFormat="false" ht="23.85" hidden="false" customHeight="false" outlineLevel="0" collapsed="false">
      <c r="A72" s="9" t="s">
        <v>1180</v>
      </c>
      <c r="B72" s="9" t="s">
        <v>1181</v>
      </c>
      <c r="C72" s="9" t="s">
        <v>1178</v>
      </c>
      <c r="D72" s="9" t="s">
        <v>941</v>
      </c>
      <c r="E72" s="9"/>
      <c r="F72" s="9" t="s">
        <v>1182</v>
      </c>
      <c r="G72" s="10"/>
      <c r="H72" s="10"/>
    </row>
    <row r="73" customFormat="false" ht="15" hidden="false" customHeight="false" outlineLevel="0" collapsed="false">
      <c r="A73" s="9" t="s">
        <v>1183</v>
      </c>
      <c r="B73" s="9" t="s">
        <v>1183</v>
      </c>
      <c r="C73" s="9" t="s">
        <v>1184</v>
      </c>
      <c r="D73" s="9" t="s">
        <v>941</v>
      </c>
      <c r="E73" s="9"/>
      <c r="F73" s="9" t="s">
        <v>1185</v>
      </c>
      <c r="G73" s="10"/>
      <c r="H73" s="10"/>
    </row>
    <row r="74" customFormat="false" ht="23.85" hidden="false" customHeight="false" outlineLevel="0" collapsed="false">
      <c r="A74" s="9" t="s">
        <v>1186</v>
      </c>
      <c r="B74" s="9" t="s">
        <v>1186</v>
      </c>
      <c r="C74" s="9" t="s">
        <v>1184</v>
      </c>
      <c r="D74" s="9" t="s">
        <v>941</v>
      </c>
      <c r="E74" s="9"/>
      <c r="F74" s="9" t="s">
        <v>1187</v>
      </c>
      <c r="G74" s="10"/>
      <c r="H74" s="10"/>
    </row>
    <row r="75" customFormat="false" ht="15" hidden="false" customHeight="false" outlineLevel="0" collapsed="false">
      <c r="A75" s="9" t="s">
        <v>1188</v>
      </c>
      <c r="B75" s="9" t="s">
        <v>1188</v>
      </c>
      <c r="C75" s="9" t="s">
        <v>1184</v>
      </c>
      <c r="D75" s="9" t="s">
        <v>941</v>
      </c>
      <c r="E75" s="9"/>
      <c r="F75" s="9" t="s">
        <v>1189</v>
      </c>
      <c r="G75" s="10"/>
      <c r="H75" s="10"/>
    </row>
    <row r="76" customFormat="false" ht="15" hidden="false" customHeight="false" outlineLevel="0" collapsed="false">
      <c r="A76" s="9" t="s">
        <v>1190</v>
      </c>
      <c r="B76" s="9" t="s">
        <v>1190</v>
      </c>
      <c r="C76" s="9" t="s">
        <v>1184</v>
      </c>
      <c r="D76" s="9" t="s">
        <v>941</v>
      </c>
      <c r="E76" s="9"/>
      <c r="F76" s="9" t="s">
        <v>1191</v>
      </c>
      <c r="G76" s="10"/>
      <c r="H76" s="10"/>
    </row>
    <row r="77" customFormat="false" ht="15" hidden="false" customHeight="false" outlineLevel="0" collapsed="false">
      <c r="A77" s="9" t="s">
        <v>1192</v>
      </c>
      <c r="B77" s="9" t="s">
        <v>1192</v>
      </c>
      <c r="C77" s="9" t="s">
        <v>1184</v>
      </c>
      <c r="D77" s="9" t="s">
        <v>941</v>
      </c>
      <c r="E77" s="9"/>
      <c r="F77" s="9" t="s">
        <v>1193</v>
      </c>
      <c r="G77" s="10"/>
      <c r="H77" s="10"/>
    </row>
    <row r="78" customFormat="false" ht="15" hidden="false" customHeight="false" outlineLevel="0" collapsed="false">
      <c r="A78" s="9" t="s">
        <v>1194</v>
      </c>
      <c r="B78" s="9" t="s">
        <v>1194</v>
      </c>
      <c r="C78" s="9" t="s">
        <v>1184</v>
      </c>
      <c r="D78" s="9" t="s">
        <v>941</v>
      </c>
      <c r="E78" s="9"/>
      <c r="F78" s="9" t="s">
        <v>1195</v>
      </c>
      <c r="G78" s="10"/>
      <c r="H78" s="10"/>
    </row>
    <row r="79" customFormat="false" ht="23.85" hidden="false" customHeight="false" outlineLevel="0" collapsed="false">
      <c r="A79" s="9" t="s">
        <v>1196</v>
      </c>
      <c r="B79" s="9" t="s">
        <v>1196</v>
      </c>
      <c r="C79" s="9" t="s">
        <v>1184</v>
      </c>
      <c r="D79" s="9" t="s">
        <v>941</v>
      </c>
      <c r="E79" s="9"/>
      <c r="F79" s="9" t="s">
        <v>1197</v>
      </c>
      <c r="G79" s="10"/>
      <c r="H79" s="10"/>
    </row>
    <row r="80" customFormat="false" ht="23.85" hidden="false" customHeight="false" outlineLevel="0" collapsed="false">
      <c r="A80" s="9" t="s">
        <v>1198</v>
      </c>
      <c r="B80" s="9" t="s">
        <v>1198</v>
      </c>
      <c r="C80" s="9" t="s">
        <v>1184</v>
      </c>
      <c r="D80" s="9" t="s">
        <v>941</v>
      </c>
      <c r="E80" s="9"/>
      <c r="F80" s="9" t="s">
        <v>1199</v>
      </c>
      <c r="G80" s="10"/>
      <c r="H80" s="10"/>
    </row>
    <row r="81" customFormat="false" ht="15" hidden="false" customHeight="false" outlineLevel="0" collapsed="false">
      <c r="A81" s="9" t="s">
        <v>1200</v>
      </c>
      <c r="B81" s="9" t="s">
        <v>1200</v>
      </c>
      <c r="C81" s="9" t="s">
        <v>1184</v>
      </c>
      <c r="D81" s="9" t="s">
        <v>941</v>
      </c>
      <c r="E81" s="9"/>
      <c r="F81" s="9" t="s">
        <v>1201</v>
      </c>
      <c r="G81" s="10"/>
      <c r="H81" s="10"/>
    </row>
    <row r="82" customFormat="false" ht="15" hidden="false" customHeight="false" outlineLevel="0" collapsed="false">
      <c r="A82" s="9" t="s">
        <v>1202</v>
      </c>
      <c r="B82" s="9" t="s">
        <v>1202</v>
      </c>
      <c r="C82" s="9" t="s">
        <v>1184</v>
      </c>
      <c r="D82" s="9" t="s">
        <v>941</v>
      </c>
      <c r="E82" s="9"/>
      <c r="F82" s="9" t="s">
        <v>1203</v>
      </c>
      <c r="G82" s="10"/>
      <c r="H82" s="10"/>
    </row>
    <row r="83" customFormat="false" ht="23.85" hidden="false" customHeight="false" outlineLevel="0" collapsed="false">
      <c r="A83" s="9" t="s">
        <v>1204</v>
      </c>
      <c r="B83" s="9" t="s">
        <v>1204</v>
      </c>
      <c r="C83" s="9" t="s">
        <v>1205</v>
      </c>
      <c r="D83" s="9" t="s">
        <v>941</v>
      </c>
      <c r="E83" s="9"/>
      <c r="F83" s="9" t="s">
        <v>1206</v>
      </c>
      <c r="G83" s="10"/>
      <c r="H83" s="10"/>
    </row>
    <row r="84" customFormat="false" ht="15" hidden="false" customHeight="false" outlineLevel="0" collapsed="false">
      <c r="A84" s="9" t="s">
        <v>1207</v>
      </c>
      <c r="B84" s="9" t="s">
        <v>1207</v>
      </c>
      <c r="C84" s="9" t="s">
        <v>1205</v>
      </c>
      <c r="D84" s="9" t="s">
        <v>941</v>
      </c>
      <c r="E84" s="9"/>
      <c r="F84" s="9" t="s">
        <v>1208</v>
      </c>
      <c r="G84" s="10"/>
      <c r="H84" s="10"/>
    </row>
    <row r="85" customFormat="false" ht="15" hidden="false" customHeight="false" outlineLevel="0" collapsed="false">
      <c r="A85" s="9" t="s">
        <v>1209</v>
      </c>
      <c r="B85" s="9" t="s">
        <v>1209</v>
      </c>
      <c r="C85" s="9" t="s">
        <v>1205</v>
      </c>
      <c r="D85" s="9" t="s">
        <v>941</v>
      </c>
      <c r="E85" s="9"/>
      <c r="F85" s="9" t="s">
        <v>1210</v>
      </c>
      <c r="G85" s="10"/>
      <c r="H85" s="10"/>
    </row>
    <row r="86" customFormat="false" ht="15" hidden="false" customHeight="false" outlineLevel="0" collapsed="false">
      <c r="A86" s="9" t="s">
        <v>1211</v>
      </c>
      <c r="B86" s="9" t="s">
        <v>1211</v>
      </c>
      <c r="C86" s="9" t="s">
        <v>1205</v>
      </c>
      <c r="D86" s="9" t="s">
        <v>941</v>
      </c>
      <c r="E86" s="9"/>
      <c r="F86" s="9" t="s">
        <v>1212</v>
      </c>
      <c r="G86" s="10"/>
      <c r="H86" s="10"/>
    </row>
    <row r="87" customFormat="false" ht="23.85" hidden="false" customHeight="false" outlineLevel="0" collapsed="false">
      <c r="A87" s="9" t="s">
        <v>344</v>
      </c>
      <c r="B87" s="9" t="s">
        <v>344</v>
      </c>
      <c r="C87" s="9" t="s">
        <v>1205</v>
      </c>
      <c r="D87" s="9" t="s">
        <v>979</v>
      </c>
      <c r="E87" s="9" t="s">
        <v>1213</v>
      </c>
      <c r="F87" s="9" t="s">
        <v>1214</v>
      </c>
      <c r="G87" s="10"/>
      <c r="H87" s="10"/>
    </row>
    <row r="88" customFormat="false" ht="15" hidden="false" customHeight="false" outlineLevel="0" collapsed="false">
      <c r="A88" s="9" t="s">
        <v>1215</v>
      </c>
      <c r="B88" s="9" t="s">
        <v>1215</v>
      </c>
      <c r="C88" s="9" t="s">
        <v>1216</v>
      </c>
      <c r="D88" s="9" t="s">
        <v>941</v>
      </c>
      <c r="E88" s="9"/>
      <c r="F88" s="9" t="s">
        <v>1217</v>
      </c>
      <c r="G88" s="10"/>
      <c r="H88" s="10"/>
    </row>
    <row r="89" customFormat="false" ht="23.85" hidden="false" customHeight="false" outlineLevel="0" collapsed="false">
      <c r="A89" s="9" t="s">
        <v>1218</v>
      </c>
      <c r="B89" s="9" t="s">
        <v>1218</v>
      </c>
      <c r="C89" s="9" t="s">
        <v>1216</v>
      </c>
      <c r="D89" s="9" t="s">
        <v>941</v>
      </c>
      <c r="E89" s="9"/>
      <c r="F89" s="9" t="s">
        <v>1219</v>
      </c>
      <c r="G89" s="10"/>
      <c r="H89" s="10"/>
    </row>
    <row r="90" customFormat="false" ht="23.85" hidden="false" customHeight="false" outlineLevel="0" collapsed="false">
      <c r="A90" s="9" t="s">
        <v>1220</v>
      </c>
      <c r="B90" s="9" t="s">
        <v>1220</v>
      </c>
      <c r="C90" s="9" t="s">
        <v>1216</v>
      </c>
      <c r="D90" s="9" t="s">
        <v>941</v>
      </c>
      <c r="E90" s="9"/>
      <c r="F90" s="9" t="s">
        <v>1221</v>
      </c>
      <c r="G90" s="10"/>
      <c r="H90" s="10"/>
    </row>
    <row r="91" customFormat="false" ht="23.85" hidden="false" customHeight="false" outlineLevel="0" collapsed="false">
      <c r="A91" s="9" t="s">
        <v>313</v>
      </c>
      <c r="B91" s="9" t="s">
        <v>313</v>
      </c>
      <c r="C91" s="9" t="s">
        <v>1216</v>
      </c>
      <c r="D91" s="9" t="s">
        <v>979</v>
      </c>
      <c r="E91" s="9" t="s">
        <v>1222</v>
      </c>
      <c r="F91" s="9" t="s">
        <v>1223</v>
      </c>
      <c r="G91" s="10"/>
      <c r="H91" s="10"/>
    </row>
    <row r="92" customFormat="false" ht="23.85" hidden="false" customHeight="false" outlineLevel="0" collapsed="false">
      <c r="A92" s="9" t="s">
        <v>316</v>
      </c>
      <c r="B92" s="9" t="s">
        <v>316</v>
      </c>
      <c r="C92" s="9" t="s">
        <v>1216</v>
      </c>
      <c r="D92" s="9" t="s">
        <v>979</v>
      </c>
      <c r="E92" s="9" t="s">
        <v>1224</v>
      </c>
      <c r="F92" s="9" t="s">
        <v>1225</v>
      </c>
      <c r="G92" s="10"/>
      <c r="H92" s="10"/>
    </row>
    <row r="93" customFormat="false" ht="15" hidden="false" customHeight="false" outlineLevel="0" collapsed="false">
      <c r="A93" s="9" t="s">
        <v>1226</v>
      </c>
      <c r="B93" s="9" t="s">
        <v>1226</v>
      </c>
      <c r="C93" s="9" t="s">
        <v>1227</v>
      </c>
      <c r="D93" s="9" t="s">
        <v>941</v>
      </c>
      <c r="E93" s="9"/>
      <c r="F93" s="9" t="s">
        <v>1228</v>
      </c>
      <c r="G93" s="10"/>
      <c r="H93" s="10"/>
    </row>
    <row r="94" customFormat="false" ht="15" hidden="false" customHeight="false" outlineLevel="0" collapsed="false">
      <c r="A94" s="9" t="s">
        <v>1229</v>
      </c>
      <c r="B94" s="9" t="s">
        <v>1229</v>
      </c>
      <c r="C94" s="9" t="s">
        <v>1227</v>
      </c>
      <c r="D94" s="9" t="s">
        <v>941</v>
      </c>
      <c r="E94" s="9"/>
      <c r="F94" s="9" t="s">
        <v>1230</v>
      </c>
      <c r="G94" s="10"/>
      <c r="H94" s="10"/>
    </row>
    <row r="95" customFormat="false" ht="35.05" hidden="false" customHeight="false" outlineLevel="0" collapsed="false">
      <c r="A95" s="9" t="s">
        <v>347</v>
      </c>
      <c r="B95" s="9" t="s">
        <v>347</v>
      </c>
      <c r="C95" s="9" t="s">
        <v>1231</v>
      </c>
      <c r="D95" s="9" t="s">
        <v>979</v>
      </c>
      <c r="E95" s="9" t="s">
        <v>1232</v>
      </c>
      <c r="F95" s="9" t="s">
        <v>1233</v>
      </c>
      <c r="G95" s="10"/>
      <c r="H95" s="10"/>
    </row>
    <row r="96" customFormat="false" ht="15" hidden="false" customHeight="false" outlineLevel="0" collapsed="false">
      <c r="A96" s="9" t="s">
        <v>1234</v>
      </c>
      <c r="B96" s="9" t="s">
        <v>1234</v>
      </c>
      <c r="C96" s="9" t="s">
        <v>1235</v>
      </c>
      <c r="D96" s="9" t="s">
        <v>941</v>
      </c>
      <c r="E96" s="9"/>
      <c r="F96" s="9" t="s">
        <v>1236</v>
      </c>
      <c r="G96" s="10"/>
      <c r="H96" s="10"/>
    </row>
    <row r="97" customFormat="false" ht="23.85" hidden="false" customHeight="false" outlineLevel="0" collapsed="false">
      <c r="A97" s="9" t="s">
        <v>1237</v>
      </c>
      <c r="B97" s="9" t="s">
        <v>1237</v>
      </c>
      <c r="C97" s="9" t="s">
        <v>1235</v>
      </c>
      <c r="D97" s="9" t="s">
        <v>941</v>
      </c>
      <c r="E97" s="9"/>
      <c r="F97" s="9" t="s">
        <v>1238</v>
      </c>
      <c r="G97" s="10"/>
      <c r="H97" s="10"/>
    </row>
    <row r="98" customFormat="false" ht="35.05" hidden="false" customHeight="false" outlineLevel="0" collapsed="false">
      <c r="A98" s="9" t="s">
        <v>359</v>
      </c>
      <c r="B98" s="9" t="s">
        <v>359</v>
      </c>
      <c r="C98" s="9" t="s">
        <v>1235</v>
      </c>
      <c r="D98" s="9" t="s">
        <v>979</v>
      </c>
      <c r="E98" s="9" t="s">
        <v>1239</v>
      </c>
      <c r="F98" s="9" t="s">
        <v>1240</v>
      </c>
      <c r="G98" s="10"/>
      <c r="H98" s="10"/>
    </row>
    <row r="99" customFormat="false" ht="15" hidden="false" customHeight="false" outlineLevel="0" collapsed="false">
      <c r="A99" s="9" t="s">
        <v>1241</v>
      </c>
      <c r="B99" s="9" t="s">
        <v>1241</v>
      </c>
      <c r="C99" s="9" t="s">
        <v>1144</v>
      </c>
      <c r="D99" s="9" t="s">
        <v>941</v>
      </c>
      <c r="E99" s="9"/>
      <c r="F99" s="9" t="s">
        <v>1242</v>
      </c>
      <c r="G99" s="10"/>
      <c r="H99" s="10"/>
    </row>
    <row r="100" customFormat="false" ht="15" hidden="false" customHeight="false" outlineLevel="0" collapsed="false">
      <c r="A100" s="9" t="s">
        <v>1243</v>
      </c>
      <c r="B100" s="9" t="s">
        <v>1243</v>
      </c>
      <c r="C100" s="9" t="s">
        <v>1144</v>
      </c>
      <c r="D100" s="9" t="s">
        <v>941</v>
      </c>
      <c r="E100" s="9"/>
      <c r="F100" s="9" t="s">
        <v>1244</v>
      </c>
      <c r="G100" s="10"/>
      <c r="H100" s="10"/>
    </row>
    <row r="101" customFormat="false" ht="15" hidden="false" customHeight="false" outlineLevel="0" collapsed="false">
      <c r="A101" s="9" t="s">
        <v>1245</v>
      </c>
      <c r="B101" s="9" t="s">
        <v>1245</v>
      </c>
      <c r="C101" s="9" t="s">
        <v>1144</v>
      </c>
      <c r="D101" s="9" t="s">
        <v>941</v>
      </c>
      <c r="E101" s="9"/>
      <c r="F101" s="9" t="s">
        <v>1246</v>
      </c>
      <c r="G101" s="10"/>
      <c r="H101" s="10"/>
    </row>
    <row r="102" customFormat="false" ht="15" hidden="false" customHeight="false" outlineLevel="0" collapsed="false">
      <c r="A102" s="9" t="s">
        <v>1247</v>
      </c>
      <c r="B102" s="9" t="s">
        <v>1247</v>
      </c>
      <c r="C102" s="9" t="s">
        <v>1144</v>
      </c>
      <c r="D102" s="9" t="s">
        <v>941</v>
      </c>
      <c r="E102" s="9"/>
      <c r="F102" s="9" t="s">
        <v>1248</v>
      </c>
      <c r="G102" s="10"/>
      <c r="H102" s="10"/>
    </row>
    <row r="103" customFormat="false" ht="15" hidden="false" customHeight="false" outlineLevel="0" collapsed="false">
      <c r="A103" s="9" t="s">
        <v>1249</v>
      </c>
      <c r="B103" s="9" t="s">
        <v>1249</v>
      </c>
      <c r="C103" s="9" t="s">
        <v>1088</v>
      </c>
      <c r="D103" s="9" t="s">
        <v>941</v>
      </c>
      <c r="E103" s="9"/>
      <c r="F103" s="9" t="s">
        <v>1250</v>
      </c>
      <c r="G103" s="10"/>
      <c r="H103" s="10"/>
    </row>
  </sheetData>
  <autoFilter ref="A1:H103"/>
  <dataValidations count="1">
    <dataValidation allowBlank="true" errorStyle="stop" operator="between" showDropDown="false" showErrorMessage="false" showInputMessage="false" sqref="G3:G103" type="list">
      <formula1>"Yes,No,Edit"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2026-10-16T09:38:27Z</dcterms:created>
  <dc:creator>openpyxl</dc:creator>
  <dc:description/>
  <dc:language>en-IN</dc:language>
  <cp:lastModifiedBy/>
  <dcterms:modified xsi:type="dcterms:W3CDTF">2026-10-16T09:38:28Z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